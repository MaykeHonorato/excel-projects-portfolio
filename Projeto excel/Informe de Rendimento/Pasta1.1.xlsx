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ke Honorato Mazon\Desktop\Portifolio\Projeto excel\Informe de Rendimento\"/>
    </mc:Choice>
  </mc:AlternateContent>
  <xr:revisionPtr revIDLastSave="0" documentId="13_ncr:1_{DB19E295-E4B6-4871-A43C-A51BF38C147B}" xr6:coauthVersionLast="47" xr6:coauthVersionMax="47" xr10:uidLastSave="{00000000-0000-0000-0000-000000000000}"/>
  <bookViews>
    <workbookView xWindow="-120" yWindow="-120" windowWidth="29040" windowHeight="15720" activeTab="3" xr2:uid="{1B3AC411-C863-4AC5-9333-D6D00DFBBF9A}"/>
  </bookViews>
  <sheets>
    <sheet name="TITULAR" sheetId="1" r:id="rId1"/>
    <sheet name="INFORMES" sheetId="5" r:id="rId2"/>
    <sheet name="NOTAS" sheetId="6" r:id="rId3"/>
    <sheet name="Dashboard Financeiro" sheetId="15" r:id="rId4"/>
    <sheet name="Tabela" sheetId="7" r:id="rId5"/>
  </sheets>
  <definedNames>
    <definedName name="_xlcn.WorksheetConnection_NOTASC5C61" hidden="1">NOTAS!$C$5:$C$6</definedName>
    <definedName name="_xlcn.WorksheetConnection_Pasta1.xlsxTabela11" hidden="1">Tabela1[]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ela1" name="Tabela1" connection="WorksheetConnection_Pasta1.xlsx!Tabela1"/>
          <x15:modelTable id="Intervalo" name="Intervalo" connection="WorksheetConnection_NOTAS!$C$5:$C$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5" l="1"/>
  <c r="C9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B2DCC5-A01D-44D6-84C8-2C8F31528DA5}" keepAlive="1" name="ThisWorkbookDataModel" description="Modelo de Dado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CB1D32-DEE2-4444-BD75-23113D4A6E5A}" name="WorksheetConnection_NOTAS!$C$5:$C$6" type="102" refreshedVersion="7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NOTASC5C61"/>
        </x15:connection>
      </ext>
    </extLst>
  </connection>
  <connection id="3" xr16:uid="{A488B1C3-194B-4E5C-A8AE-F507C984A198}" name="WorksheetConnection_Pasta1.xlsx!Tabela1" type="102" refreshedVersion="7" minRefreshableVersion="5">
    <extLst>
      <ext xmlns:x15="http://schemas.microsoft.com/office/spreadsheetml/2010/11/main" uri="{DE250136-89BD-433C-8126-D09CA5730AF9}">
        <x15:connection id="Tabela1">
          <x15:rangePr sourceName="_xlcn.WorksheetConnection_Pasta1.xlsxTabela11"/>
        </x15:connection>
      </ext>
    </extLst>
  </connection>
</connections>
</file>

<file path=xl/sharedStrings.xml><?xml version="1.0" encoding="utf-8"?>
<sst xmlns="http://schemas.openxmlformats.org/spreadsheetml/2006/main" count="118" uniqueCount="93">
  <si>
    <t>I</t>
  </si>
  <si>
    <t>NOME</t>
  </si>
  <si>
    <t>CPF</t>
  </si>
  <si>
    <t>NASCIMENTO</t>
  </si>
  <si>
    <t>TÍTULO DE ELEITOR</t>
  </si>
  <si>
    <t>CÔNJUNGE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</si>
  <si>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</si>
  <si>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</si>
  <si>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</si>
  <si>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</si>
  <si>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</si>
  <si>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</si>
  <si>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</si>
  <si>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</si>
  <si>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</si>
  <si>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 xml:space="preserve">1. DADOS DO TÍTULAR </t>
  </si>
  <si>
    <t xml:space="preserve">       preencha os dados da sua pessoa fisica  abaixo</t>
  </si>
  <si>
    <t>SIM</t>
  </si>
  <si>
    <t>Mayke Honorato Mazoni</t>
  </si>
  <si>
    <t>Nathalia</t>
  </si>
  <si>
    <t>Antonio cabral</t>
  </si>
  <si>
    <t>maike-honorato@hotmail.com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</si>
  <si>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</si>
  <si>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</si>
  <si>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</si>
  <si>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</si>
  <si>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</si>
  <si>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</si>
  <si>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</si>
  <si>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</si>
  <si>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</si>
  <si>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</si>
  <si>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</si>
  <si>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</si>
  <si>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</si>
  <si>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</si>
  <si>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</si>
  <si>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</si>
  <si>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</si>
  <si>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</si>
  <si>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</si>
  <si>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</si>
  <si>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</si>
  <si>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</si>
  <si>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</si>
  <si>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</si>
  <si>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</si>
  <si>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</si>
  <si>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</si>
  <si>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</si>
  <si>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</si>
  <si>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</si>
  <si>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</si>
  <si>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</si>
  <si>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</si>
  <si>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</si>
  <si>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</si>
  <si>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</si>
  <si>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</si>
  <si>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</si>
  <si>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</si>
  <si>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</si>
  <si>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</si>
  <si>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</si>
  <si>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</si>
  <si>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</si>
  <si>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</si>
  <si>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</si>
  <si>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</si>
  <si>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</si>
  <si>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</si>
  <si>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</si>
  <si>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</si>
  <si>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</t>
  </si>
  <si>
    <t>VALOR</t>
  </si>
  <si>
    <t>VALOR ATUAL</t>
  </si>
  <si>
    <t>ANEXO🖇️</t>
  </si>
  <si>
    <t>BANCOX .PDF</t>
  </si>
  <si>
    <t xml:space="preserve">       preencha  com  seus dados atuais de cada banco</t>
  </si>
  <si>
    <t>1 Banco</t>
  </si>
  <si>
    <t>2 Banco</t>
  </si>
  <si>
    <t>3 Banco</t>
  </si>
  <si>
    <t>TOTAL</t>
  </si>
  <si>
    <t>1. NOTAS BANCÁRIAS OU EXTRAATO DE HOLERITES</t>
  </si>
  <si>
    <t>São todos os valores de entrada mês a mês de receita</t>
  </si>
  <si>
    <t>ENTRADAS</t>
  </si>
  <si>
    <t>DATA</t>
  </si>
  <si>
    <t>CATEGORIA</t>
  </si>
  <si>
    <t>HOLERITE</t>
  </si>
  <si>
    <t>CNPJ</t>
  </si>
  <si>
    <t>FREELANCE</t>
  </si>
  <si>
    <t>1. DASHBOARD IR</t>
  </si>
  <si>
    <t>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</si>
</sst>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$&quot;\ * #,##0.00_-;\-&quot;R$&quot;\ * #,##0.00_-;_-&quot;R$&quot;\ * &quot;-&quot;??_-;_-@_-"/>
    <numFmt numFmtId="164" formatCode="000&quot;.&quot;000&quot;.&quot;000&quot;.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00&quot;/&quot;00&quot;/&quot;0000"/>
    <numFmt numFmtId="169" formatCode="&quot;R$&quot;\ #,##0.00"/>
    <numFmt numFmtId="170" formatCode="mm/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A5A5A5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0" applyNumberForma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0" borderId="2" xfId="0" applyBorder="1"/>
    <xf numFmtId="0" fontId="0" fillId="4" borderId="0" xfId="0" applyFill="1"/>
    <xf numFmtId="0" fontId="2" fillId="0" borderId="1" xfId="2"/>
    <xf numFmtId="0" fontId="0" fillId="5" borderId="0" xfId="0" applyFill="1"/>
    <xf numFmtId="0" fontId="2" fillId="0" borderId="1" xfId="2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169" fontId="0" fillId="0" borderId="0" xfId="1" applyNumberFormat="1" applyFont="1"/>
    <xf numFmtId="0" fontId="3" fillId="6" borderId="2" xfId="0" applyFont="1" applyFill="1" applyBorder="1" applyAlignment="1" applyProtection="1">
      <alignment horizontal="center" vertical="center"/>
      <protection locked="0"/>
    </xf>
    <xf numFmtId="164" fontId="3" fillId="6" borderId="2" xfId="0" applyNumberFormat="1" applyFont="1" applyFill="1" applyBorder="1" applyAlignment="1" applyProtection="1">
      <alignment horizontal="center" vertical="center"/>
      <protection locked="0"/>
    </xf>
    <xf numFmtId="168" fontId="3" fillId="6" borderId="2" xfId="0" applyNumberFormat="1" applyFont="1" applyFill="1" applyBorder="1" applyAlignment="1" applyProtection="1">
      <alignment horizontal="center" vertical="center"/>
      <protection locked="0"/>
    </xf>
    <xf numFmtId="165" fontId="3" fillId="6" borderId="2" xfId="0" applyNumberFormat="1" applyFont="1" applyFill="1" applyBorder="1" applyAlignment="1" applyProtection="1">
      <alignment horizontal="center" vertical="center"/>
      <protection locked="0"/>
    </xf>
    <xf numFmtId="166" fontId="3" fillId="6" borderId="2" xfId="0" applyNumberFormat="1" applyFont="1" applyFill="1" applyBorder="1" applyAlignment="1" applyProtection="1">
      <alignment horizontal="center" vertical="center"/>
      <protection locked="0"/>
    </xf>
    <xf numFmtId="167" fontId="3" fillId="6" borderId="2" xfId="0" applyNumberFormat="1" applyFont="1" applyFill="1" applyBorder="1" applyAlignment="1" applyProtection="1">
      <alignment horizontal="center" vertical="center"/>
      <protection locked="0"/>
    </xf>
    <xf numFmtId="0" fontId="6" fillId="6" borderId="2" xfId="3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69" fontId="0" fillId="0" borderId="0" xfId="1" applyNumberFormat="1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2" xfId="0" applyBorder="1" applyAlignment="1" applyProtection="1">
      <alignment horizontal="right"/>
      <protection locked="0"/>
    </xf>
    <xf numFmtId="169" fontId="3" fillId="6" borderId="2" xfId="1" applyNumberFormat="1" applyFont="1" applyFill="1" applyBorder="1" applyAlignment="1" applyProtection="1">
      <alignment horizontal="center" vertical="center"/>
      <protection locked="0"/>
    </xf>
    <xf numFmtId="170" fontId="0" fillId="0" borderId="0" xfId="0" applyNumberFormat="1" applyAlignment="1" applyProtection="1">
      <alignment horizontal="center"/>
      <protection locked="0"/>
    </xf>
    <xf numFmtId="0" fontId="0" fillId="7" borderId="0" xfId="0" applyFill="1"/>
    <xf numFmtId="0" fontId="0" fillId="7" borderId="0" xfId="0" applyFill="1" applyAlignment="1">
      <alignment horizontal="center" vertical="center"/>
    </xf>
    <xf numFmtId="169" fontId="0" fillId="7" borderId="0" xfId="1" applyNumberFormat="1" applyFont="1" applyFill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2" fillId="0" borderId="1" xfId="2" applyNumberForma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170" fontId="0" fillId="0" borderId="0" xfId="0" applyNumberFormat="1" applyAlignment="1" applyProtection="1">
      <alignment horizontal="center" vertical="center"/>
      <protection locked="0"/>
    </xf>
    <xf numFmtId="169" fontId="7" fillId="3" borderId="3" xfId="1" applyNumberFormat="1" applyFont="1" applyFill="1" applyBorder="1" applyAlignment="1" applyProtection="1">
      <alignment horizontal="center"/>
      <protection locked="0"/>
    </xf>
    <xf numFmtId="169" fontId="7" fillId="3" borderId="4" xfId="1" applyNumberFormat="1" applyFont="1" applyFill="1" applyBorder="1" applyAlignment="1" applyProtection="1">
      <alignment horizontal="center"/>
      <protection locked="0"/>
    </xf>
    <xf numFmtId="0" fontId="8" fillId="5" borderId="0" xfId="0" applyFont="1" applyFill="1" applyAlignment="1" applyProtection="1">
      <alignment horizontal="center"/>
      <protection locked="0"/>
    </xf>
    <xf numFmtId="0" fontId="8" fillId="7" borderId="0" xfId="0" applyFont="1" applyFill="1" applyAlignment="1" applyProtection="1">
      <alignment horizontal="center"/>
      <protection locked="0"/>
    </xf>
  </cellXfs>
  <cellStyles count="4">
    <cellStyle name="Hiperlink" xfId="3" builtinId="8"/>
    <cellStyle name="Moeda" xfId="1" builtinId="4"/>
    <cellStyle name="Normal" xfId="0" builtinId="0"/>
    <cellStyle name="Título 1" xfId="2" builtinId="16"/>
  </cellStyles>
  <dxfs count="5">
    <dxf>
      <numFmt numFmtId="169" formatCode="&quot;R$&quot;\ #,##0.00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protection locked="0" hidden="0"/>
    </dxf>
    <dxf>
      <alignment horizontal="center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TOTAIS</a:t>
            </a:r>
            <a:r>
              <a:rPr lang="en-US" baseline="0"/>
              <a:t>  POR CATEGORIA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8.6856121812135048E-2"/>
          <c:y val="0.16150378757724754"/>
          <c:w val="0.61727581283609911"/>
          <c:h val="0.80725730927721628"/>
        </c:manualLayout>
      </c:layout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082-480E-B2BA-A171B73387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082-480E-B2BA-A171B73387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082-480E-B2BA-A171B73387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CNPJ</c:v>
              </c:pt>
              <c:pt idx="1">
                <c:v>FREELANCE</c:v>
              </c:pt>
              <c:pt idx="2">
                <c:v>HOLERITE</c:v>
              </c:pt>
            </c:strLit>
          </c:cat>
          <c:val>
            <c:numLit>
              <c:formatCode>General</c:formatCode>
              <c:ptCount val="3"/>
              <c:pt idx="0">
                <c:v>18000</c:v>
              </c:pt>
              <c:pt idx="1">
                <c:v>30000</c:v>
              </c:pt>
              <c:pt idx="2">
                <c:v>12000</c:v>
              </c:pt>
            </c:numLit>
          </c:val>
          <c:extLst>
            <c:ext xmlns:c16="http://schemas.microsoft.com/office/drawing/2014/chart" uri="{C3380CC4-5D6E-409C-BE32-E72D297353CC}">
              <c16:uniqueId val="{00000006-9082-480E-B2BA-A171B733879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Entradas</a:t>
            </a:r>
            <a:r>
              <a:rPr lang="en-US" baseline="0"/>
              <a:t> Por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mar</c:v>
              </c:pt>
              <c:pt idx="1">
                <c:v>abr</c:v>
              </c:pt>
              <c:pt idx="2">
                <c:v>mai</c:v>
              </c:pt>
              <c:pt idx="3">
                <c:v>jun</c:v>
              </c:pt>
              <c:pt idx="4">
                <c:v>jul</c:v>
              </c:pt>
              <c:pt idx="5">
                <c:v>ago</c:v>
              </c:pt>
              <c:pt idx="6">
                <c:v>set</c:v>
              </c:pt>
              <c:pt idx="7">
                <c:v>out</c:v>
              </c:pt>
              <c:pt idx="8">
                <c:v>nov</c:v>
              </c:pt>
              <c:pt idx="9">
                <c:v>dez</c:v>
              </c:pt>
            </c:strLit>
          </c:cat>
          <c:val>
            <c:numLit>
              <c:formatCode>General</c:formatCode>
              <c:ptCount val="10"/>
              <c:pt idx="0">
                <c:v>3000</c:v>
              </c:pt>
              <c:pt idx="1">
                <c:v>6000</c:v>
              </c:pt>
              <c:pt idx="2">
                <c:v>10000</c:v>
              </c:pt>
              <c:pt idx="3">
                <c:v>3000</c:v>
              </c:pt>
              <c:pt idx="4">
                <c:v>6000</c:v>
              </c:pt>
              <c:pt idx="5">
                <c:v>10000</c:v>
              </c:pt>
              <c:pt idx="6">
                <c:v>3000</c:v>
              </c:pt>
              <c:pt idx="7">
                <c:v>6000</c:v>
              </c:pt>
              <c:pt idx="8">
                <c:v>10000</c:v>
              </c:pt>
              <c:pt idx="9">
                <c:v>3000</c:v>
              </c:pt>
            </c:numLit>
          </c:val>
          <c:extLst>
            <c:ext xmlns:c16="http://schemas.microsoft.com/office/drawing/2014/chart" uri="{C3380CC4-5D6E-409C-BE32-E72D297353CC}">
              <c16:uniqueId val="{00000000-16F8-402B-B8C1-77773250A6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09648512"/>
        <c:axId val="1709650176"/>
      </c:barChart>
      <c:catAx>
        <c:axId val="170964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09650176"/>
        <c:crosses val="autoZero"/>
        <c:auto val="1"/>
        <c:lblAlgn val="ctr"/>
        <c:lblOffset val="100"/>
        <c:noMultiLvlLbl val="0"/>
      </c:catAx>
      <c:valAx>
        <c:axId val="17096501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0964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hyperlink" Target="#'Dashboard Financeiro'!A1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hyperlink" Target="#'Dashboard Financeiro'!A1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5" Type="http://schemas.openxmlformats.org/officeDocument/2006/relationships/hyperlink" Target="#'Dashboard Financeiro'!A1"/><Relationship Id="rId4" Type="http://schemas.openxmlformats.org/officeDocument/2006/relationships/hyperlink" Target="#NOTAS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hyperlink" Target="#'Dashboard Financeiro'!A1"/><Relationship Id="rId2" Type="http://schemas.openxmlformats.org/officeDocument/2006/relationships/hyperlink" Target="#TITULAR!A1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47625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8F6F28E-ADA1-4F5B-BD96-F53006B4DFE1}"/>
            </a:ext>
          </a:extLst>
        </xdr:cNvPr>
        <xdr:cNvSpPr>
          <a:spLocks noChangeAspect="1" noChangeArrowheads="1"/>
        </xdr:cNvSpPr>
      </xdr:nvSpPr>
      <xdr:spPr bwMode="auto">
        <a:xfrm>
          <a:off x="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169069</xdr:colOff>
      <xdr:row>0</xdr:row>
      <xdr:rowOff>123825</xdr:rowOff>
    </xdr:from>
    <xdr:to>
      <xdr:col>0</xdr:col>
      <xdr:colOff>1845469</xdr:colOff>
      <xdr:row>4</xdr:row>
      <xdr:rowOff>66675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69165E17-DC81-4FB2-82F7-16586F42BDBC}"/>
            </a:ext>
          </a:extLst>
        </xdr:cNvPr>
        <xdr:cNvSpPr/>
      </xdr:nvSpPr>
      <xdr:spPr>
        <a:xfrm>
          <a:off x="169069" y="123825"/>
          <a:ext cx="1676400" cy="704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atin typeface="Bahnschrift Light SemiCondensed" panose="020B0502040204020203" pitchFamily="34" charset="0"/>
            </a:rPr>
            <a:t>Leão IR Pro</a:t>
          </a:r>
        </a:p>
      </xdr:txBody>
    </xdr:sp>
    <xdr:clientData/>
  </xdr:twoCellAnchor>
  <xdr:twoCellAnchor editAs="absolute">
    <xdr:from>
      <xdr:col>0</xdr:col>
      <xdr:colOff>83344</xdr:colOff>
      <xdr:row>3</xdr:row>
      <xdr:rowOff>85725</xdr:rowOff>
    </xdr:from>
    <xdr:to>
      <xdr:col>0</xdr:col>
      <xdr:colOff>1931194</xdr:colOff>
      <xdr:row>13</xdr:row>
      <xdr:rowOff>161925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8BF1847-92CD-4ECD-9C66-8AA9DD307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4" y="657225"/>
          <a:ext cx="1847850" cy="2057400"/>
        </a:xfrm>
        <a:prstGeom prst="rect">
          <a:avLst/>
        </a:prstGeom>
      </xdr:spPr>
    </xdr:pic>
    <xdr:clientData/>
  </xdr:twoCellAnchor>
  <xdr:twoCellAnchor editAs="absolute">
    <xdr:from>
      <xdr:col>0</xdr:col>
      <xdr:colOff>95250</xdr:colOff>
      <xdr:row>13</xdr:row>
      <xdr:rowOff>66675</xdr:rowOff>
    </xdr:from>
    <xdr:to>
      <xdr:col>0</xdr:col>
      <xdr:colOff>1919288</xdr:colOff>
      <xdr:row>16</xdr:row>
      <xdr:rowOff>47625</xdr:rowOff>
    </xdr:to>
    <xdr:sp macro="" textlink="">
      <xdr:nvSpPr>
        <xdr:cNvPr id="9" name="Retângulo: Cantos Arredondados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7D8704F-E7FA-44B9-B350-66F293509AC2}"/>
            </a:ext>
          </a:extLst>
        </xdr:cNvPr>
        <xdr:cNvSpPr/>
      </xdr:nvSpPr>
      <xdr:spPr>
        <a:xfrm>
          <a:off x="95250" y="2619375"/>
          <a:ext cx="1824038" cy="552450"/>
        </a:xfrm>
        <a:prstGeom prst="roundRect">
          <a:avLst>
            <a:gd name="adj" fmla="val 50000"/>
          </a:avLst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TITULAR</a:t>
          </a:r>
        </a:p>
      </xdr:txBody>
    </xdr:sp>
    <xdr:clientData/>
  </xdr:twoCellAnchor>
  <xdr:twoCellAnchor editAs="absolute">
    <xdr:from>
      <xdr:col>0</xdr:col>
      <xdr:colOff>95250</xdr:colOff>
      <xdr:row>17</xdr:row>
      <xdr:rowOff>98425</xdr:rowOff>
    </xdr:from>
    <xdr:to>
      <xdr:col>0</xdr:col>
      <xdr:colOff>1919288</xdr:colOff>
      <xdr:row>20</xdr:row>
      <xdr:rowOff>79375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4E7FF43-83AD-48D1-BADD-CD22DAE55B50}"/>
            </a:ext>
          </a:extLst>
        </xdr:cNvPr>
        <xdr:cNvSpPr/>
      </xdr:nvSpPr>
      <xdr:spPr>
        <a:xfrm>
          <a:off x="95250" y="3413125"/>
          <a:ext cx="1824038" cy="5524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76200</xdr:colOff>
      <xdr:row>21</xdr:row>
      <xdr:rowOff>130175</xdr:rowOff>
    </xdr:from>
    <xdr:to>
      <xdr:col>0</xdr:col>
      <xdr:colOff>1901400</xdr:colOff>
      <xdr:row>24</xdr:row>
      <xdr:rowOff>111125</xdr:rowOff>
    </xdr:to>
    <xdr:sp macro="" textlink="">
      <xdr:nvSpPr>
        <xdr:cNvPr id="12" name="Retângulo: Cantos Arredondado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BD3C1C5-FB92-47F6-A886-A8B531D4DCF3}"/>
            </a:ext>
          </a:extLst>
        </xdr:cNvPr>
        <xdr:cNvSpPr/>
      </xdr:nvSpPr>
      <xdr:spPr>
        <a:xfrm>
          <a:off x="76200" y="4206875"/>
          <a:ext cx="1825200" cy="5524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3</xdr:col>
      <xdr:colOff>19050</xdr:colOff>
      <xdr:row>21</xdr:row>
      <xdr:rowOff>171449</xdr:rowOff>
    </xdr:from>
    <xdr:to>
      <xdr:col>4</xdr:col>
      <xdr:colOff>47625</xdr:colOff>
      <xdr:row>23</xdr:row>
      <xdr:rowOff>66674</xdr:rowOff>
    </xdr:to>
    <xdr:sp macro="" textlink="">
      <xdr:nvSpPr>
        <xdr:cNvPr id="2" name="Retângulo 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38F9ADC-C630-4563-9914-719FF214EEB6}"/>
            </a:ext>
          </a:extLst>
        </xdr:cNvPr>
        <xdr:cNvSpPr/>
      </xdr:nvSpPr>
      <xdr:spPr>
        <a:xfrm>
          <a:off x="5791200" y="4248149"/>
          <a:ext cx="2266950" cy="276225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 PRÓXIMO</a:t>
          </a:r>
          <a:r>
            <a:rPr lang="pt-BR" sz="1100" baseline="0"/>
            <a:t>  -- &gt;</a:t>
          </a:r>
          <a:endParaRPr lang="pt-BR" sz="1100"/>
        </a:p>
      </xdr:txBody>
    </xdr:sp>
    <xdr:clientData/>
  </xdr:twoCellAnchor>
  <xdr:twoCellAnchor editAs="absolute">
    <xdr:from>
      <xdr:col>0</xdr:col>
      <xdr:colOff>111919</xdr:colOff>
      <xdr:row>25</xdr:row>
      <xdr:rowOff>161925</xdr:rowOff>
    </xdr:from>
    <xdr:to>
      <xdr:col>0</xdr:col>
      <xdr:colOff>1937119</xdr:colOff>
      <xdr:row>28</xdr:row>
      <xdr:rowOff>133350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1C0FB38-DF86-4640-8B6F-9AA55267483B}"/>
            </a:ext>
          </a:extLst>
        </xdr:cNvPr>
        <xdr:cNvSpPr/>
      </xdr:nvSpPr>
      <xdr:spPr>
        <a:xfrm>
          <a:off x="111919" y="5000625"/>
          <a:ext cx="1825200" cy="5524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+mn-lt"/>
              <a:ea typeface="+mn-ea"/>
              <a:cs typeface="+mn-cs"/>
            </a:rPr>
            <a:t>DASHBOARD </a:t>
          </a:r>
        </a:p>
      </xdr:txBody>
    </xdr:sp>
    <xdr:clientData/>
  </xdr:twoCellAnchor>
  <xdr:twoCellAnchor>
    <xdr:from>
      <xdr:col>0</xdr:col>
      <xdr:colOff>342899</xdr:colOff>
      <xdr:row>27</xdr:row>
      <xdr:rowOff>180974</xdr:rowOff>
    </xdr:from>
    <xdr:to>
      <xdr:col>0</xdr:col>
      <xdr:colOff>1818899</xdr:colOff>
      <xdr:row>27</xdr:row>
      <xdr:rowOff>180974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24863327-4261-4466-80D1-3B06891DE62C}"/>
            </a:ext>
          </a:extLst>
        </xdr:cNvPr>
        <xdr:cNvCxnSpPr/>
      </xdr:nvCxnSpPr>
      <xdr:spPr>
        <a:xfrm flipV="1">
          <a:off x="342899" y="5400674"/>
          <a:ext cx="1476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257175</xdr:colOff>
      <xdr:row>27</xdr:row>
      <xdr:rowOff>190499</xdr:rowOff>
    </xdr:from>
    <xdr:to>
      <xdr:col>0</xdr:col>
      <xdr:colOff>1019175</xdr:colOff>
      <xdr:row>29</xdr:row>
      <xdr:rowOff>974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DEAB1D50-E2AE-44D3-B6B4-366899E28B50}"/>
            </a:ext>
          </a:extLst>
        </xdr:cNvPr>
        <xdr:cNvSpPr/>
      </xdr:nvSpPr>
      <xdr:spPr>
        <a:xfrm>
          <a:off x="257175" y="5410199"/>
          <a:ext cx="762000" cy="2772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Bahnschrift Light SemiCondensed" panose="020B0502040204020203" pitchFamily="34" charset="0"/>
            </a:rPr>
            <a:t>IR</a:t>
          </a:r>
          <a:r>
            <a:rPr lang="pt-BR" sz="1800" b="1" baseline="0">
              <a:latin typeface="Bahnschrift Light SemiCondensed" panose="020B0502040204020203" pitchFamily="34" charset="0"/>
            </a:rPr>
            <a:t> Pro</a:t>
          </a:r>
          <a:endParaRPr lang="pt-BR" sz="1800" b="1">
            <a:latin typeface="Bahnschrift Light SemiCondensed" panose="020B0502040204020203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47625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7783785-791C-4EAA-A423-ABE77F124A4A}"/>
            </a:ext>
          </a:extLst>
        </xdr:cNvPr>
        <xdr:cNvSpPr>
          <a:spLocks noChangeAspect="1" noChangeArrowheads="1"/>
        </xdr:cNvSpPr>
      </xdr:nvSpPr>
      <xdr:spPr bwMode="auto">
        <a:xfrm>
          <a:off x="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169069</xdr:colOff>
      <xdr:row>0</xdr:row>
      <xdr:rowOff>123825</xdr:rowOff>
    </xdr:from>
    <xdr:to>
      <xdr:col>0</xdr:col>
      <xdr:colOff>1845469</xdr:colOff>
      <xdr:row>4</xdr:row>
      <xdr:rowOff>57150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A7212519-67C5-4B1D-BB89-87EC5889FAB7}"/>
            </a:ext>
          </a:extLst>
        </xdr:cNvPr>
        <xdr:cNvSpPr/>
      </xdr:nvSpPr>
      <xdr:spPr>
        <a:xfrm>
          <a:off x="169069" y="123825"/>
          <a:ext cx="1676400" cy="704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atin typeface="Bahnschrift Light SemiCondensed" panose="020B0502040204020203" pitchFamily="34" charset="0"/>
            </a:rPr>
            <a:t>Leão IR Pro</a:t>
          </a:r>
        </a:p>
      </xdr:txBody>
    </xdr:sp>
    <xdr:clientData/>
  </xdr:twoCellAnchor>
  <xdr:twoCellAnchor editAs="absolute">
    <xdr:from>
      <xdr:col>0</xdr:col>
      <xdr:colOff>83344</xdr:colOff>
      <xdr:row>3</xdr:row>
      <xdr:rowOff>76200</xdr:rowOff>
    </xdr:from>
    <xdr:to>
      <xdr:col>0</xdr:col>
      <xdr:colOff>1931194</xdr:colOff>
      <xdr:row>13</xdr:row>
      <xdr:rowOff>66675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DC62142-26C8-4BD1-AB78-534E031CE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4" y="657225"/>
          <a:ext cx="1847850" cy="2057400"/>
        </a:xfrm>
        <a:prstGeom prst="rect">
          <a:avLst/>
        </a:prstGeom>
      </xdr:spPr>
    </xdr:pic>
    <xdr:clientData/>
  </xdr:twoCellAnchor>
  <xdr:twoCellAnchor editAs="absolute">
    <xdr:from>
      <xdr:col>0</xdr:col>
      <xdr:colOff>57150</xdr:colOff>
      <xdr:row>12</xdr:row>
      <xdr:rowOff>161925</xdr:rowOff>
    </xdr:from>
    <xdr:to>
      <xdr:col>0</xdr:col>
      <xdr:colOff>1881188</xdr:colOff>
      <xdr:row>15</xdr:row>
      <xdr:rowOff>142875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FB62659-0188-4808-BC72-71AA1C576262}"/>
            </a:ext>
          </a:extLst>
        </xdr:cNvPr>
        <xdr:cNvSpPr/>
      </xdr:nvSpPr>
      <xdr:spPr>
        <a:xfrm>
          <a:off x="57150" y="2619375"/>
          <a:ext cx="1824038" cy="5524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TITULAR</a:t>
          </a:r>
        </a:p>
      </xdr:txBody>
    </xdr:sp>
    <xdr:clientData/>
  </xdr:twoCellAnchor>
  <xdr:twoCellAnchor editAs="absolute">
    <xdr:from>
      <xdr:col>0</xdr:col>
      <xdr:colOff>57150</xdr:colOff>
      <xdr:row>17</xdr:row>
      <xdr:rowOff>3175</xdr:rowOff>
    </xdr:from>
    <xdr:to>
      <xdr:col>0</xdr:col>
      <xdr:colOff>1881188</xdr:colOff>
      <xdr:row>19</xdr:row>
      <xdr:rowOff>174625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1FBE13-8767-4EBC-98A0-9083B56AFE97}"/>
            </a:ext>
          </a:extLst>
        </xdr:cNvPr>
        <xdr:cNvSpPr/>
      </xdr:nvSpPr>
      <xdr:spPr>
        <a:xfrm>
          <a:off x="57150" y="3413125"/>
          <a:ext cx="1824038" cy="552450"/>
        </a:xfrm>
        <a:prstGeom prst="roundRect">
          <a:avLst>
            <a:gd name="adj" fmla="val 50000"/>
          </a:avLst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38099</xdr:colOff>
      <xdr:row>21</xdr:row>
      <xdr:rowOff>34925</xdr:rowOff>
    </xdr:from>
    <xdr:to>
      <xdr:col>0</xdr:col>
      <xdr:colOff>1863299</xdr:colOff>
      <xdr:row>24</xdr:row>
      <xdr:rowOff>15875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5C9C4D9-8C4B-4285-AC53-9EAD6E3F8C64}"/>
            </a:ext>
          </a:extLst>
        </xdr:cNvPr>
        <xdr:cNvSpPr/>
      </xdr:nvSpPr>
      <xdr:spPr>
        <a:xfrm>
          <a:off x="38099" y="4206875"/>
          <a:ext cx="1825200" cy="5524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 editAs="absolute">
    <xdr:from>
      <xdr:col>3</xdr:col>
      <xdr:colOff>28575</xdr:colOff>
      <xdr:row>25</xdr:row>
      <xdr:rowOff>123825</xdr:rowOff>
    </xdr:from>
    <xdr:to>
      <xdr:col>4</xdr:col>
      <xdr:colOff>57150</xdr:colOff>
      <xdr:row>27</xdr:row>
      <xdr:rowOff>19050</xdr:rowOff>
    </xdr:to>
    <xdr:sp macro="" textlink="">
      <xdr:nvSpPr>
        <xdr:cNvPr id="8" name="Retângulo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9DCEF30-D206-45AA-BB42-61433E9574C7}"/>
            </a:ext>
          </a:extLst>
        </xdr:cNvPr>
        <xdr:cNvSpPr/>
      </xdr:nvSpPr>
      <xdr:spPr>
        <a:xfrm>
          <a:off x="5800725" y="5057775"/>
          <a:ext cx="2266950" cy="276225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 PRÓXIMO</a:t>
          </a:r>
          <a:r>
            <a:rPr lang="pt-BR" sz="1100" baseline="0"/>
            <a:t>  -- &gt;</a:t>
          </a:r>
          <a:endParaRPr lang="pt-BR" sz="1100"/>
        </a:p>
      </xdr:txBody>
    </xdr:sp>
    <xdr:clientData/>
  </xdr:twoCellAnchor>
  <xdr:twoCellAnchor editAs="absolute">
    <xdr:from>
      <xdr:col>2</xdr:col>
      <xdr:colOff>809625</xdr:colOff>
      <xdr:row>25</xdr:row>
      <xdr:rowOff>133350</xdr:rowOff>
    </xdr:from>
    <xdr:to>
      <xdr:col>3</xdr:col>
      <xdr:colOff>19050</xdr:colOff>
      <xdr:row>27</xdr:row>
      <xdr:rowOff>28575</xdr:rowOff>
    </xdr:to>
    <xdr:sp macro="" textlink="">
      <xdr:nvSpPr>
        <xdr:cNvPr id="9" name="Retângulo 8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544B90A-BF70-4FF6-8C43-72519CD9487D}"/>
            </a:ext>
          </a:extLst>
        </xdr:cNvPr>
        <xdr:cNvSpPr/>
      </xdr:nvSpPr>
      <xdr:spPr>
        <a:xfrm>
          <a:off x="3524250" y="5067300"/>
          <a:ext cx="2266950" cy="276225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 </a:t>
          </a:r>
          <a:r>
            <a:rPr lang="pt-BR" sz="1100" baseline="0"/>
            <a:t>  &lt; --- ANTERIOR</a:t>
          </a:r>
          <a:endParaRPr lang="pt-BR" sz="1100"/>
        </a:p>
      </xdr:txBody>
    </xdr:sp>
    <xdr:clientData/>
  </xdr:twoCellAnchor>
  <xdr:twoCellAnchor editAs="absolute">
    <xdr:from>
      <xdr:col>0</xdr:col>
      <xdr:colOff>73819</xdr:colOff>
      <xdr:row>25</xdr:row>
      <xdr:rowOff>66675</xdr:rowOff>
    </xdr:from>
    <xdr:to>
      <xdr:col>0</xdr:col>
      <xdr:colOff>1899019</xdr:colOff>
      <xdr:row>28</xdr:row>
      <xdr:rowOff>47625</xdr:rowOff>
    </xdr:to>
    <xdr:sp macro="" textlink="">
      <xdr:nvSpPr>
        <xdr:cNvPr id="10" name="Retângulo: Cantos Arredondados 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5FE81EE-7F6E-47DB-9239-5F897B702D77}"/>
            </a:ext>
          </a:extLst>
        </xdr:cNvPr>
        <xdr:cNvSpPr/>
      </xdr:nvSpPr>
      <xdr:spPr>
        <a:xfrm>
          <a:off x="73819" y="5000625"/>
          <a:ext cx="1825200" cy="5524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+mn-lt"/>
              <a:ea typeface="+mn-ea"/>
              <a:cs typeface="+mn-cs"/>
            </a:rPr>
            <a:t>DASHBOARD </a:t>
          </a:r>
        </a:p>
      </xdr:txBody>
    </xdr:sp>
    <xdr:clientData/>
  </xdr:twoCellAnchor>
  <xdr:twoCellAnchor editAs="absolute">
    <xdr:from>
      <xdr:col>0</xdr:col>
      <xdr:colOff>228600</xdr:colOff>
      <xdr:row>27</xdr:row>
      <xdr:rowOff>180975</xdr:rowOff>
    </xdr:from>
    <xdr:to>
      <xdr:col>0</xdr:col>
      <xdr:colOff>990600</xdr:colOff>
      <xdr:row>29</xdr:row>
      <xdr:rowOff>0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E7897B3C-0F8C-47D8-8196-91FA2B55ED22}"/>
            </a:ext>
          </a:extLst>
        </xdr:cNvPr>
        <xdr:cNvSpPr/>
      </xdr:nvSpPr>
      <xdr:spPr>
        <a:xfrm>
          <a:off x="228600" y="5495925"/>
          <a:ext cx="762000" cy="27622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Bahnschrift Light SemiCondensed" panose="020B0502040204020203" pitchFamily="34" charset="0"/>
            </a:rPr>
            <a:t>IR</a:t>
          </a:r>
          <a:r>
            <a:rPr lang="pt-BR" sz="1800" b="1" baseline="0">
              <a:latin typeface="Bahnschrift Light SemiCondensed" panose="020B0502040204020203" pitchFamily="34" charset="0"/>
            </a:rPr>
            <a:t> Pro</a:t>
          </a:r>
          <a:endParaRPr lang="pt-BR" sz="1800" b="1">
            <a:latin typeface="Bahnschrift Light SemiCondensed" panose="020B0502040204020203" pitchFamily="34" charset="0"/>
          </a:endParaRPr>
        </a:p>
      </xdr:txBody>
    </xdr:sp>
    <xdr:clientData/>
  </xdr:twoCellAnchor>
  <xdr:twoCellAnchor>
    <xdr:from>
      <xdr:col>0</xdr:col>
      <xdr:colOff>302418</xdr:colOff>
      <xdr:row>27</xdr:row>
      <xdr:rowOff>152400</xdr:rowOff>
    </xdr:from>
    <xdr:to>
      <xdr:col>0</xdr:col>
      <xdr:colOff>1778418</xdr:colOff>
      <xdr:row>27</xdr:row>
      <xdr:rowOff>152400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48C7236C-9F65-457F-BDCE-34774D8B967B}"/>
            </a:ext>
          </a:extLst>
        </xdr:cNvPr>
        <xdr:cNvCxnSpPr/>
      </xdr:nvCxnSpPr>
      <xdr:spPr>
        <a:xfrm flipV="1">
          <a:off x="302418" y="5467350"/>
          <a:ext cx="1476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47625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5F8D9EA-281B-42B0-BA3A-48AC2219D27E}"/>
            </a:ext>
          </a:extLst>
        </xdr:cNvPr>
        <xdr:cNvSpPr>
          <a:spLocks noChangeAspect="1" noChangeArrowheads="1"/>
        </xdr:cNvSpPr>
      </xdr:nvSpPr>
      <xdr:spPr bwMode="auto">
        <a:xfrm>
          <a:off x="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152399</xdr:colOff>
      <xdr:row>27</xdr:row>
      <xdr:rowOff>152400</xdr:rowOff>
    </xdr:from>
    <xdr:to>
      <xdr:col>0</xdr:col>
      <xdr:colOff>1219200</xdr:colOff>
      <xdr:row>29</xdr:row>
      <xdr:rowOff>38100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ADEEB0E2-5B02-4183-AB61-275CEFF25605}"/>
            </a:ext>
          </a:extLst>
        </xdr:cNvPr>
        <xdr:cNvSpPr/>
      </xdr:nvSpPr>
      <xdr:spPr>
        <a:xfrm>
          <a:off x="152399" y="5419725"/>
          <a:ext cx="1066801" cy="3429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Bahnschrift Light SemiCondensed" panose="020B0502040204020203" pitchFamily="34" charset="0"/>
            </a:rPr>
            <a:t>IR Pro</a:t>
          </a:r>
        </a:p>
      </xdr:txBody>
    </xdr:sp>
    <xdr:clientData/>
  </xdr:twoCellAnchor>
  <xdr:twoCellAnchor editAs="absolute">
    <xdr:from>
      <xdr:col>0</xdr:col>
      <xdr:colOff>83344</xdr:colOff>
      <xdr:row>3</xdr:row>
      <xdr:rowOff>85725</xdr:rowOff>
    </xdr:from>
    <xdr:to>
      <xdr:col>0</xdr:col>
      <xdr:colOff>1931194</xdr:colOff>
      <xdr:row>13</xdr:row>
      <xdr:rowOff>114300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245CC32-3107-46B4-9669-34C4BE024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4" y="657225"/>
          <a:ext cx="1847850" cy="2057400"/>
        </a:xfrm>
        <a:prstGeom prst="rect">
          <a:avLst/>
        </a:prstGeom>
      </xdr:spPr>
    </xdr:pic>
    <xdr:clientData/>
  </xdr:twoCellAnchor>
  <xdr:twoCellAnchor editAs="absolute">
    <xdr:from>
      <xdr:col>0</xdr:col>
      <xdr:colOff>90487</xdr:colOff>
      <xdr:row>13</xdr:row>
      <xdr:rowOff>19050</xdr:rowOff>
    </xdr:from>
    <xdr:to>
      <xdr:col>0</xdr:col>
      <xdr:colOff>1914525</xdr:colOff>
      <xdr:row>16</xdr:row>
      <xdr:rowOff>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2BEE491-F29E-44EE-B099-37539A15C242}"/>
            </a:ext>
          </a:extLst>
        </xdr:cNvPr>
        <xdr:cNvSpPr/>
      </xdr:nvSpPr>
      <xdr:spPr>
        <a:xfrm>
          <a:off x="90487" y="2619375"/>
          <a:ext cx="1824038" cy="5524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TITULAR</a:t>
          </a:r>
        </a:p>
      </xdr:txBody>
    </xdr:sp>
    <xdr:clientData/>
  </xdr:twoCellAnchor>
  <xdr:twoCellAnchor editAs="absolute">
    <xdr:from>
      <xdr:col>0</xdr:col>
      <xdr:colOff>83343</xdr:colOff>
      <xdr:row>17</xdr:row>
      <xdr:rowOff>114300</xdr:rowOff>
    </xdr:from>
    <xdr:to>
      <xdr:col>0</xdr:col>
      <xdr:colOff>1907381</xdr:colOff>
      <xdr:row>20</xdr:row>
      <xdr:rowOff>95250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1152370-C834-4527-A77D-FA9FF5F2393F}"/>
            </a:ext>
          </a:extLst>
        </xdr:cNvPr>
        <xdr:cNvSpPr/>
      </xdr:nvSpPr>
      <xdr:spPr>
        <a:xfrm>
          <a:off x="83343" y="3476625"/>
          <a:ext cx="1824038" cy="5524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76199</xdr:colOff>
      <xdr:row>20</xdr:row>
      <xdr:rowOff>161925</xdr:rowOff>
    </xdr:from>
    <xdr:to>
      <xdr:col>0</xdr:col>
      <xdr:colOff>1901399</xdr:colOff>
      <xdr:row>23</xdr:row>
      <xdr:rowOff>142875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D51B18A-7CC5-4825-91F4-238DC665D1C8}"/>
            </a:ext>
          </a:extLst>
        </xdr:cNvPr>
        <xdr:cNvSpPr/>
      </xdr:nvSpPr>
      <xdr:spPr>
        <a:xfrm>
          <a:off x="76199" y="4095750"/>
          <a:ext cx="1825200" cy="552450"/>
        </a:xfrm>
        <a:prstGeom prst="roundRect">
          <a:avLst>
            <a:gd name="adj" fmla="val 50000"/>
          </a:avLst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>
    <xdr:from>
      <xdr:col>0</xdr:col>
      <xdr:colOff>276225</xdr:colOff>
      <xdr:row>28</xdr:row>
      <xdr:rowOff>0</xdr:rowOff>
    </xdr:from>
    <xdr:to>
      <xdr:col>0</xdr:col>
      <xdr:colOff>1752225</xdr:colOff>
      <xdr:row>28</xdr:row>
      <xdr:rowOff>0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48E62E66-EB84-452C-BD5E-723BF2C8916A}"/>
            </a:ext>
          </a:extLst>
        </xdr:cNvPr>
        <xdr:cNvCxnSpPr/>
      </xdr:nvCxnSpPr>
      <xdr:spPr>
        <a:xfrm flipV="1">
          <a:off x="276225" y="5457825"/>
          <a:ext cx="1476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0</xdr:colOff>
      <xdr:row>6</xdr:row>
      <xdr:rowOff>142875</xdr:rowOff>
    </xdr:from>
    <xdr:to>
      <xdr:col>2</xdr:col>
      <xdr:colOff>1666875</xdr:colOff>
      <xdr:row>8</xdr:row>
      <xdr:rowOff>1</xdr:rowOff>
    </xdr:to>
    <xdr:sp macro="" textlink="">
      <xdr:nvSpPr>
        <xdr:cNvPr id="13" name="Retâ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8CA014B-D96A-492E-8AED-9C2E4850C653}"/>
            </a:ext>
          </a:extLst>
        </xdr:cNvPr>
        <xdr:cNvSpPr/>
      </xdr:nvSpPr>
      <xdr:spPr>
        <a:xfrm>
          <a:off x="2457450" y="1362075"/>
          <a:ext cx="1666875" cy="238126"/>
        </a:xfrm>
        <a:prstGeom prst="rect">
          <a:avLst/>
        </a:prstGeom>
      </xdr:spPr>
      <xdr:style>
        <a:lnRef idx="3">
          <a:schemeClr val="lt1"/>
        </a:lnRef>
        <a:fillRef idx="1">
          <a:schemeClr val="accent3"/>
        </a:fillRef>
        <a:effectRef idx="1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 </a:t>
          </a:r>
          <a:r>
            <a:rPr lang="pt-BR" sz="1100" baseline="0"/>
            <a:t>  &lt; --- ANTERIOR</a:t>
          </a:r>
          <a:endParaRPr lang="pt-BR" sz="1100"/>
        </a:p>
      </xdr:txBody>
    </xdr:sp>
    <xdr:clientData/>
  </xdr:twoCellAnchor>
  <xdr:twoCellAnchor editAs="absolute">
    <xdr:from>
      <xdr:col>0</xdr:col>
      <xdr:colOff>321469</xdr:colOff>
      <xdr:row>1</xdr:row>
      <xdr:rowOff>85725</xdr:rowOff>
    </xdr:from>
    <xdr:to>
      <xdr:col>0</xdr:col>
      <xdr:colOff>1997869</xdr:colOff>
      <xdr:row>4</xdr:row>
      <xdr:rowOff>219075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0513487A-E6B9-4E4E-BC1E-AA94DD97F558}"/>
            </a:ext>
          </a:extLst>
        </xdr:cNvPr>
        <xdr:cNvSpPr/>
      </xdr:nvSpPr>
      <xdr:spPr>
        <a:xfrm>
          <a:off x="321469" y="276225"/>
          <a:ext cx="1676400" cy="704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atin typeface="Bahnschrift Light SemiCondensed" panose="020B0502040204020203" pitchFamily="34" charset="0"/>
            </a:rPr>
            <a:t>Leão IR Pro</a:t>
          </a:r>
        </a:p>
      </xdr:txBody>
    </xdr:sp>
    <xdr:clientData/>
  </xdr:twoCellAnchor>
  <xdr:twoCellAnchor editAs="absolute">
    <xdr:from>
      <xdr:col>0</xdr:col>
      <xdr:colOff>30956</xdr:colOff>
      <xdr:row>25</xdr:row>
      <xdr:rowOff>180975</xdr:rowOff>
    </xdr:from>
    <xdr:to>
      <xdr:col>0</xdr:col>
      <xdr:colOff>1856156</xdr:colOff>
      <xdr:row>28</xdr:row>
      <xdr:rowOff>161925</xdr:rowOff>
    </xdr:to>
    <xdr:sp macro="" textlink="">
      <xdr:nvSpPr>
        <xdr:cNvPr id="19" name="Retângulo: Cantos Arredondados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6C83BE9-5EA8-484A-90B5-6A6EDA1E6829}"/>
            </a:ext>
          </a:extLst>
        </xdr:cNvPr>
        <xdr:cNvSpPr/>
      </xdr:nvSpPr>
      <xdr:spPr>
        <a:xfrm>
          <a:off x="30956" y="5067300"/>
          <a:ext cx="1825200" cy="5524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+mn-lt"/>
              <a:ea typeface="+mn-ea"/>
              <a:cs typeface="+mn-cs"/>
            </a:rPr>
            <a:t>Dashboard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304800</xdr:colOff>
      <xdr:row>5</xdr:row>
      <xdr:rowOff>47625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8256957-6344-4CED-8D64-569BB340E052}"/>
            </a:ext>
          </a:extLst>
        </xdr:cNvPr>
        <xdr:cNvSpPr>
          <a:spLocks noChangeAspect="1" noChangeArrowheads="1"/>
        </xdr:cNvSpPr>
      </xdr:nvSpPr>
      <xdr:spPr bwMode="auto">
        <a:xfrm>
          <a:off x="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95250</xdr:colOff>
      <xdr:row>27</xdr:row>
      <xdr:rowOff>123825</xdr:rowOff>
    </xdr:from>
    <xdr:to>
      <xdr:col>0</xdr:col>
      <xdr:colOff>1247775</xdr:colOff>
      <xdr:row>29</xdr:row>
      <xdr:rowOff>66675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1E41371-328A-4AF8-A831-D6963AA0F294}"/>
            </a:ext>
          </a:extLst>
        </xdr:cNvPr>
        <xdr:cNvSpPr/>
      </xdr:nvSpPr>
      <xdr:spPr>
        <a:xfrm>
          <a:off x="95250" y="5391150"/>
          <a:ext cx="1152525" cy="4000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Bahnschrift Light SemiCondensed" panose="020B0502040204020203" pitchFamily="34" charset="0"/>
            </a:rPr>
            <a:t>IR Pro</a:t>
          </a:r>
        </a:p>
      </xdr:txBody>
    </xdr:sp>
    <xdr:clientData/>
  </xdr:twoCellAnchor>
  <xdr:twoCellAnchor editAs="absolute">
    <xdr:from>
      <xdr:col>0</xdr:col>
      <xdr:colOff>83344</xdr:colOff>
      <xdr:row>3</xdr:row>
      <xdr:rowOff>85725</xdr:rowOff>
    </xdr:from>
    <xdr:to>
      <xdr:col>0</xdr:col>
      <xdr:colOff>1931194</xdr:colOff>
      <xdr:row>13</xdr:row>
      <xdr:rowOff>114300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AF1C3FD-2483-40BA-A478-E9311BC29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344" y="657225"/>
          <a:ext cx="1847850" cy="2057400"/>
        </a:xfrm>
        <a:prstGeom prst="rect">
          <a:avLst/>
        </a:prstGeom>
      </xdr:spPr>
    </xdr:pic>
    <xdr:clientData/>
  </xdr:twoCellAnchor>
  <xdr:twoCellAnchor editAs="absolute">
    <xdr:from>
      <xdr:col>0</xdr:col>
      <xdr:colOff>99403</xdr:colOff>
      <xdr:row>13</xdr:row>
      <xdr:rowOff>19050</xdr:rowOff>
    </xdr:from>
    <xdr:to>
      <xdr:col>0</xdr:col>
      <xdr:colOff>1923441</xdr:colOff>
      <xdr:row>16</xdr:row>
      <xdr:rowOff>0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98E121-2BF8-40D2-B2E5-9983DDF1CAC2}"/>
            </a:ext>
          </a:extLst>
        </xdr:cNvPr>
        <xdr:cNvSpPr/>
      </xdr:nvSpPr>
      <xdr:spPr>
        <a:xfrm>
          <a:off x="99403" y="2619375"/>
          <a:ext cx="1824038" cy="5524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TITULAR</a:t>
          </a:r>
        </a:p>
      </xdr:txBody>
    </xdr:sp>
    <xdr:clientData/>
  </xdr:twoCellAnchor>
  <xdr:twoCellAnchor editAs="absolute">
    <xdr:from>
      <xdr:col>0</xdr:col>
      <xdr:colOff>99984</xdr:colOff>
      <xdr:row>17</xdr:row>
      <xdr:rowOff>114300</xdr:rowOff>
    </xdr:from>
    <xdr:to>
      <xdr:col>0</xdr:col>
      <xdr:colOff>1924022</xdr:colOff>
      <xdr:row>20</xdr:row>
      <xdr:rowOff>95250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CE1A61C-F1B5-42C1-9A8C-0614F5AB6201}"/>
            </a:ext>
          </a:extLst>
        </xdr:cNvPr>
        <xdr:cNvSpPr/>
      </xdr:nvSpPr>
      <xdr:spPr>
        <a:xfrm>
          <a:off x="99984" y="3476625"/>
          <a:ext cx="1824038" cy="5524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+mn-lt"/>
              <a:ea typeface="+mn-ea"/>
              <a:cs typeface="+mn-cs"/>
            </a:rPr>
            <a:t>INFORMES</a:t>
          </a:r>
        </a:p>
      </xdr:txBody>
    </xdr:sp>
    <xdr:clientData/>
  </xdr:twoCellAnchor>
  <xdr:twoCellAnchor editAs="absolute">
    <xdr:from>
      <xdr:col>0</xdr:col>
      <xdr:colOff>98822</xdr:colOff>
      <xdr:row>22</xdr:row>
      <xdr:rowOff>19050</xdr:rowOff>
    </xdr:from>
    <xdr:to>
      <xdr:col>0</xdr:col>
      <xdr:colOff>1924022</xdr:colOff>
      <xdr:row>25</xdr:row>
      <xdr:rowOff>0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9B26579-6A7F-4999-8FAD-53AE3CD2775B}"/>
            </a:ext>
          </a:extLst>
        </xdr:cNvPr>
        <xdr:cNvSpPr/>
      </xdr:nvSpPr>
      <xdr:spPr>
        <a:xfrm>
          <a:off x="98822" y="4333875"/>
          <a:ext cx="1825200" cy="55245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+mn-lt"/>
              <a:ea typeface="+mn-ea"/>
              <a:cs typeface="+mn-cs"/>
            </a:rPr>
            <a:t>NOTAS</a:t>
          </a:r>
        </a:p>
      </xdr:txBody>
    </xdr:sp>
    <xdr:clientData/>
  </xdr:twoCellAnchor>
  <xdr:twoCellAnchor>
    <xdr:from>
      <xdr:col>0</xdr:col>
      <xdr:colOff>333375</xdr:colOff>
      <xdr:row>28</xdr:row>
      <xdr:rowOff>0</xdr:rowOff>
    </xdr:from>
    <xdr:to>
      <xdr:col>0</xdr:col>
      <xdr:colOff>1809375</xdr:colOff>
      <xdr:row>28</xdr:row>
      <xdr:rowOff>0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AA375679-CC57-47B5-8B82-ADF3943B499F}"/>
            </a:ext>
          </a:extLst>
        </xdr:cNvPr>
        <xdr:cNvCxnSpPr/>
      </xdr:nvCxnSpPr>
      <xdr:spPr>
        <a:xfrm flipV="1">
          <a:off x="333375" y="5457825"/>
          <a:ext cx="147600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76200</xdr:colOff>
      <xdr:row>1</xdr:row>
      <xdr:rowOff>85725</xdr:rowOff>
    </xdr:from>
    <xdr:to>
      <xdr:col>0</xdr:col>
      <xdr:colOff>1997869</xdr:colOff>
      <xdr:row>4</xdr:row>
      <xdr:rowOff>219075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9A92E907-549B-4F4D-855C-D1EFD64E1160}"/>
            </a:ext>
          </a:extLst>
        </xdr:cNvPr>
        <xdr:cNvSpPr/>
      </xdr:nvSpPr>
      <xdr:spPr>
        <a:xfrm>
          <a:off x="76200" y="276225"/>
          <a:ext cx="1921669" cy="70485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1">
              <a:latin typeface="Bahnschrift Light SemiCondensed" panose="020B0502040204020203" pitchFamily="34" charset="0"/>
            </a:rPr>
            <a:t>Leão IR Pro</a:t>
          </a:r>
        </a:p>
      </xdr:txBody>
    </xdr:sp>
    <xdr:clientData/>
  </xdr:twoCellAnchor>
  <xdr:twoCellAnchor>
    <xdr:from>
      <xdr:col>7</xdr:col>
      <xdr:colOff>485775</xdr:colOff>
      <xdr:row>10</xdr:row>
      <xdr:rowOff>152401</xdr:rowOff>
    </xdr:from>
    <xdr:to>
      <xdr:col>14</xdr:col>
      <xdr:colOff>590550</xdr:colOff>
      <xdr:row>27</xdr:row>
      <xdr:rowOff>180975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9B54FFAF-FC04-4BD7-9EBA-C571073413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123825</xdr:colOff>
      <xdr:row>10</xdr:row>
      <xdr:rowOff>152400</xdr:rowOff>
    </xdr:from>
    <xdr:to>
      <xdr:col>7</xdr:col>
      <xdr:colOff>333374</xdr:colOff>
      <xdr:row>28</xdr:row>
      <xdr:rowOff>23814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E577598B-3DF8-4D6F-80A9-CF45D64788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absolute">
    <xdr:from>
      <xdr:col>0</xdr:col>
      <xdr:colOff>99403</xdr:colOff>
      <xdr:row>25</xdr:row>
      <xdr:rowOff>66675</xdr:rowOff>
    </xdr:from>
    <xdr:to>
      <xdr:col>0</xdr:col>
      <xdr:colOff>1924603</xdr:colOff>
      <xdr:row>27</xdr:row>
      <xdr:rowOff>123825</xdr:rowOff>
    </xdr:to>
    <xdr:sp macro="" textlink="">
      <xdr:nvSpPr>
        <xdr:cNvPr id="19" name="Retângulo: Cantos Arredondados 1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D561CE6-C57E-4C98-BABD-B096C45A5B00}"/>
            </a:ext>
          </a:extLst>
        </xdr:cNvPr>
        <xdr:cNvSpPr/>
      </xdr:nvSpPr>
      <xdr:spPr>
        <a:xfrm>
          <a:off x="99403" y="4953000"/>
          <a:ext cx="1825200" cy="438150"/>
        </a:xfrm>
        <a:prstGeom prst="roundRect">
          <a:avLst>
            <a:gd name="adj" fmla="val 50000"/>
          </a:avLst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2000">
              <a:solidFill>
                <a:schemeClr val="lt1"/>
              </a:solidFill>
              <a:latin typeface="+mn-lt"/>
              <a:ea typeface="+mn-ea"/>
              <a:cs typeface="+mn-cs"/>
            </a:rPr>
            <a:t>Dashboard </a:t>
          </a:r>
        </a:p>
      </xdr:txBody>
    </xdr:sp>
    <xdr:clientData/>
  </xdr:twoCellAnchor>
  <xdr:twoCellAnchor>
    <xdr:from>
      <xdr:col>1</xdr:col>
      <xdr:colOff>276225</xdr:colOff>
      <xdr:row>5</xdr:row>
      <xdr:rowOff>28575</xdr:rowOff>
    </xdr:from>
    <xdr:to>
      <xdr:col>2</xdr:col>
      <xdr:colOff>2590799</xdr:colOff>
      <xdr:row>10</xdr:row>
      <xdr:rowOff>0</xdr:rowOff>
    </xdr:to>
    <xdr:sp macro="" textlink="INFORMES!C9">
      <xdr:nvSpPr>
        <xdr:cNvPr id="14" name="Retângulo: Cantos Arredondados 13">
          <a:extLst>
            <a:ext uri="{FF2B5EF4-FFF2-40B4-BE49-F238E27FC236}">
              <a16:creationId xmlns:a16="http://schemas.microsoft.com/office/drawing/2014/main" id="{9A85CBB2-7092-4CC0-9ADD-535812BB7A78}"/>
            </a:ext>
          </a:extLst>
        </xdr:cNvPr>
        <xdr:cNvSpPr/>
      </xdr:nvSpPr>
      <xdr:spPr>
        <a:xfrm>
          <a:off x="2381250" y="1047750"/>
          <a:ext cx="2666999" cy="981075"/>
        </a:xfrm>
        <a:prstGeom prst="roundRect">
          <a:avLst>
            <a:gd name="adj" fmla="val 2222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D658F8DD-B4A6-43B4-8E58-3CBC192C5514}" type="TxLink">
            <a:rPr lang="en-US" sz="14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rPr>
            <a:pPr algn="ctr"/>
            <a:t>R$ 500.032.000,00</a:t>
          </a:fld>
          <a:endParaRPr lang="pt-BR" sz="1100"/>
        </a:p>
      </xdr:txBody>
    </xdr:sp>
    <xdr:clientData/>
  </xdr:twoCellAnchor>
  <xdr:twoCellAnchor>
    <xdr:from>
      <xdr:col>2</xdr:col>
      <xdr:colOff>47625</xdr:colOff>
      <xdr:row>5</xdr:row>
      <xdr:rowOff>38100</xdr:rowOff>
    </xdr:from>
    <xdr:to>
      <xdr:col>2</xdr:col>
      <xdr:colOff>2495550</xdr:colOff>
      <xdr:row>6</xdr:row>
      <xdr:rowOff>161925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1DEB5A01-0B35-4680-B960-6A847B0993FC}"/>
            </a:ext>
          </a:extLst>
        </xdr:cNvPr>
        <xdr:cNvSpPr/>
      </xdr:nvSpPr>
      <xdr:spPr>
        <a:xfrm>
          <a:off x="2505075" y="1057275"/>
          <a:ext cx="2447925" cy="323850"/>
        </a:xfrm>
        <a:prstGeom prst="roundRect">
          <a:avLst>
            <a:gd name="adj" fmla="val 50000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TOTAIS POR BANCO</a:t>
          </a:r>
        </a:p>
      </xdr:txBody>
    </xdr:sp>
    <xdr:clientData/>
  </xdr:twoCellAnchor>
  <xdr:twoCellAnchor>
    <xdr:from>
      <xdr:col>2</xdr:col>
      <xdr:colOff>2638425</xdr:colOff>
      <xdr:row>5</xdr:row>
      <xdr:rowOff>28576</xdr:rowOff>
    </xdr:from>
    <xdr:to>
      <xdr:col>4</xdr:col>
      <xdr:colOff>495300</xdr:colOff>
      <xdr:row>10</xdr:row>
      <xdr:rowOff>0</xdr:rowOff>
    </xdr:to>
    <xdr:sp macro="" textlink="$D$8">
      <xdr:nvSpPr>
        <xdr:cNvPr id="21" name="Retângulo: Cantos Arredondados 20">
          <a:extLst>
            <a:ext uri="{FF2B5EF4-FFF2-40B4-BE49-F238E27FC236}">
              <a16:creationId xmlns:a16="http://schemas.microsoft.com/office/drawing/2014/main" id="{680368AB-0C88-427A-BE06-11FCFD49620C}"/>
            </a:ext>
          </a:extLst>
        </xdr:cNvPr>
        <xdr:cNvSpPr/>
      </xdr:nvSpPr>
      <xdr:spPr>
        <a:xfrm>
          <a:off x="5095875" y="1047751"/>
          <a:ext cx="2819400" cy="981074"/>
        </a:xfrm>
        <a:prstGeom prst="roundRect">
          <a:avLst>
            <a:gd name="adj" fmla="val 2222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3E4373E8-E4A5-40C0-B30F-6BD39466649E}" type="TxLink">
            <a:rPr lang="en-US" sz="1400" b="1" i="0" u="none" strike="noStrike">
              <a:solidFill>
                <a:srgbClr val="FFFFFF"/>
              </a:solidFill>
              <a:latin typeface="Calibri"/>
              <a:ea typeface="Calibri"/>
              <a:cs typeface="Calibri"/>
            </a:rPr>
            <a:pPr marL="0" indent="0" algn="ctr"/>
            <a:t>R$ 60.000,00</a:t>
          </a:fld>
          <a:endParaRPr lang="pt-BR" sz="1400" b="1" i="0" u="none" strike="noStrike">
            <a:solidFill>
              <a:srgbClr val="FFFFFF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114300</xdr:colOff>
      <xdr:row>5</xdr:row>
      <xdr:rowOff>66675</xdr:rowOff>
    </xdr:from>
    <xdr:to>
      <xdr:col>4</xdr:col>
      <xdr:colOff>323850</xdr:colOff>
      <xdr:row>6</xdr:row>
      <xdr:rowOff>152400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38186ADB-955B-47B5-92E1-6618FED72A7E}"/>
            </a:ext>
          </a:extLst>
        </xdr:cNvPr>
        <xdr:cNvSpPr/>
      </xdr:nvSpPr>
      <xdr:spPr>
        <a:xfrm>
          <a:off x="5295900" y="1085850"/>
          <a:ext cx="2447925" cy="285750"/>
        </a:xfrm>
        <a:prstGeom prst="roundRect">
          <a:avLst>
            <a:gd name="adj" fmla="val 0"/>
          </a:avLst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200" b="1">
              <a:solidFill>
                <a:schemeClr val="lt1"/>
              </a:solidFill>
              <a:latin typeface="+mn-lt"/>
              <a:ea typeface="+mn-ea"/>
              <a:cs typeface="+mn-cs"/>
            </a:rPr>
            <a:t>TOTAL</a:t>
          </a:r>
          <a:r>
            <a:rPr lang="pt-BR" sz="12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POR CATEGORIA</a:t>
          </a:r>
          <a:endParaRPr lang="pt-BR" sz="1200" b="1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A3416-1A57-41C4-BB70-1F46017F04D8}" name="Tabela1" displayName="Tabela1" ref="C10:E30" totalsRowShown="0" headerRowDxfId="4" dataDxfId="3">
  <autoFilter ref="C10:E30" xr:uid="{514A3416-1A57-41C4-BB70-1F46017F04D8}"/>
  <tableColumns count="3">
    <tableColumn id="1" xr3:uid="{F9290298-15F5-435B-86E1-A876A991C666}" name="DATA" dataDxfId="2"/>
    <tableColumn id="2" xr3:uid="{7AFC3AA8-16E5-43DB-8A30-28E1FEDA994B}" name="CATEGORIA" dataDxfId="1"/>
    <tableColumn id="3" xr3:uid="{B8AE9948-60F8-4065-9DE9-2A45B519CF1A}" name="VALOR" dataDxfId="0" dataCellStyle="Moed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ike-honorato@hot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3FA59-33DF-4A93-8DE5-D39E9CDF19B7}">
  <dimension ref="A5:D30"/>
  <sheetViews>
    <sheetView showGridLines="0" showRowColHeaders="0" workbookViewId="0"/>
  </sheetViews>
  <sheetFormatPr defaultRowHeight="15" x14ac:dyDescent="0.25"/>
  <cols>
    <col min="1" max="1" width="31.5703125" style="1" customWidth="1"/>
    <col min="3" max="3" width="45.85546875" customWidth="1"/>
    <col min="4" max="4" width="33.5703125" customWidth="1"/>
  </cols>
  <sheetData>
    <row r="5" spans="3:4" ht="20.25" thickBot="1" x14ac:dyDescent="0.35">
      <c r="C5" s="4" t="s">
        <v>15</v>
      </c>
      <c r="D5" s="6"/>
    </row>
    <row r="6" spans="3:4" ht="15.75" customHeight="1" thickTop="1" x14ac:dyDescent="0.25">
      <c r="C6" s="5" t="s">
        <v>16</v>
      </c>
      <c r="D6" s="7"/>
    </row>
    <row r="7" spans="3:4" x14ac:dyDescent="0.25">
      <c r="D7" s="8"/>
    </row>
    <row r="8" spans="3:4" x14ac:dyDescent="0.25">
      <c r="C8" s="2" t="s">
        <v>1</v>
      </c>
      <c r="D8" s="11" t="s">
        <v>18</v>
      </c>
    </row>
    <row r="9" spans="3:4" x14ac:dyDescent="0.25">
      <c r="C9" s="2" t="s">
        <v>2</v>
      </c>
      <c r="D9" s="12">
        <v>41060056895</v>
      </c>
    </row>
    <row r="10" spans="3:4" x14ac:dyDescent="0.25">
      <c r="C10" s="2" t="s">
        <v>3</v>
      </c>
      <c r="D10" s="13">
        <v>9011993</v>
      </c>
    </row>
    <row r="11" spans="3:4" x14ac:dyDescent="0.25">
      <c r="C11" s="2" t="s">
        <v>4</v>
      </c>
      <c r="D11" s="11">
        <v>31713388</v>
      </c>
    </row>
    <row r="12" spans="3:4" x14ac:dyDescent="0.25">
      <c r="C12" s="2" t="s">
        <v>5</v>
      </c>
      <c r="D12" s="11" t="s">
        <v>19</v>
      </c>
    </row>
    <row r="13" spans="3:4" x14ac:dyDescent="0.25">
      <c r="C13" s="2" t="s">
        <v>6</v>
      </c>
      <c r="D13" s="11" t="s">
        <v>20</v>
      </c>
    </row>
    <row r="14" spans="3:4" x14ac:dyDescent="0.25">
      <c r="C14" s="2" t="s">
        <v>7</v>
      </c>
      <c r="D14" s="11" t="s">
        <v>20</v>
      </c>
    </row>
    <row r="15" spans="3:4" x14ac:dyDescent="0.25">
      <c r="C15" s="2" t="s">
        <v>8</v>
      </c>
      <c r="D15" s="14">
        <v>5785190</v>
      </c>
    </row>
    <row r="16" spans="3:4" x14ac:dyDescent="0.25">
      <c r="C16" s="2" t="s">
        <v>9</v>
      </c>
      <c r="D16" s="15">
        <v>1158416259</v>
      </c>
    </row>
    <row r="17" spans="1:4" x14ac:dyDescent="0.25">
      <c r="C17" s="2" t="s">
        <v>10</v>
      </c>
      <c r="D17" s="16">
        <v>11987282647</v>
      </c>
    </row>
    <row r="18" spans="1:4" x14ac:dyDescent="0.25">
      <c r="C18" s="2" t="s">
        <v>11</v>
      </c>
      <c r="D18" s="17" t="s">
        <v>21</v>
      </c>
    </row>
    <row r="19" spans="1:4" x14ac:dyDescent="0.25">
      <c r="C19" s="2" t="s">
        <v>12</v>
      </c>
      <c r="D19" s="11" t="s">
        <v>17</v>
      </c>
    </row>
    <row r="20" spans="1:4" x14ac:dyDescent="0.25">
      <c r="C20" s="2" t="s">
        <v>13</v>
      </c>
      <c r="D20" s="11" t="s">
        <v>17</v>
      </c>
    </row>
    <row r="21" spans="1:4" x14ac:dyDescent="0.25">
      <c r="C21" s="2" t="s">
        <v>14</v>
      </c>
      <c r="D21" s="11" t="s">
        <v>17</v>
      </c>
    </row>
    <row r="28" spans="1:4" ht="15.75" customHeight="1" x14ac:dyDescent="0.25"/>
    <row r="29" spans="1:4" ht="21" customHeight="1" x14ac:dyDescent="0.25">
      <c r="A29" s="31" t="s">
        <v>92</v>
      </c>
    </row>
    <row r="30" spans="1:4" x14ac:dyDescent="0.25">
      <c r="A30" s="30"/>
    </row>
  </sheetData>
  <sheetProtection selectLockedCells="1"/>
  <dataValidations count="1">
    <dataValidation type="list" allowBlank="1" showInputMessage="1" showErrorMessage="1" sqref="D19:D21" xr:uid="{DAF23AB0-89A0-4720-8AA4-633C27536E6B}">
      <formula1>"SIM,NÃO"</formula1>
    </dataValidation>
  </dataValidations>
  <hyperlinks>
    <hyperlink ref="D18" r:id="rId1" xr:uid="{3C5475D9-8CF6-41FA-85EE-5E8866EA7AA5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13360-22F1-4D53-A563-E929A6D13058}">
  <dimension ref="A3:G32"/>
  <sheetViews>
    <sheetView showGridLines="0" showRowColHeaders="0" workbookViewId="0"/>
  </sheetViews>
  <sheetFormatPr defaultRowHeight="15" x14ac:dyDescent="0.25"/>
  <cols>
    <col min="1" max="1" width="31.5703125" style="1" customWidth="1"/>
    <col min="3" max="3" width="45.85546875" customWidth="1"/>
    <col min="4" max="4" width="33.5703125" style="8" customWidth="1"/>
  </cols>
  <sheetData>
    <row r="3" spans="3:4" ht="15.75" customHeight="1" x14ac:dyDescent="0.25"/>
    <row r="5" spans="3:4" ht="20.25" thickBot="1" x14ac:dyDescent="0.35">
      <c r="C5" s="4" t="s">
        <v>15</v>
      </c>
      <c r="D5" s="6"/>
    </row>
    <row r="6" spans="3:4" ht="15.75" customHeight="1" thickTop="1" x14ac:dyDescent="0.25">
      <c r="C6" s="5" t="s">
        <v>78</v>
      </c>
      <c r="D6" s="7"/>
    </row>
    <row r="8" spans="3:4" ht="15.75" thickBot="1" x14ac:dyDescent="0.3">
      <c r="C8" s="9" t="s">
        <v>82</v>
      </c>
    </row>
    <row r="9" spans="3:4" ht="20.25" thickTop="1" thickBot="1" x14ac:dyDescent="0.35">
      <c r="C9" s="33">
        <f>SUM(D13,D19,D24,)</f>
        <v>500032000</v>
      </c>
      <c r="D9" s="34"/>
    </row>
    <row r="10" spans="3:4" ht="15.75" thickTop="1" x14ac:dyDescent="0.25">
      <c r="C10" s="21"/>
      <c r="D10" s="18"/>
    </row>
    <row r="11" spans="3:4" x14ac:dyDescent="0.25">
      <c r="C11" s="21" t="s">
        <v>79</v>
      </c>
      <c r="D11" s="18"/>
    </row>
    <row r="12" spans="3:4" x14ac:dyDescent="0.25">
      <c r="C12" s="22" t="s">
        <v>73</v>
      </c>
      <c r="D12" s="11" t="s">
        <v>35</v>
      </c>
    </row>
    <row r="13" spans="3:4" x14ac:dyDescent="0.25">
      <c r="C13" s="22" t="s">
        <v>75</v>
      </c>
      <c r="D13" s="23">
        <v>22000</v>
      </c>
    </row>
    <row r="14" spans="3:4" x14ac:dyDescent="0.25">
      <c r="C14" s="22" t="s">
        <v>76</v>
      </c>
      <c r="D14" s="11" t="s">
        <v>77</v>
      </c>
    </row>
    <row r="15" spans="3:4" x14ac:dyDescent="0.25">
      <c r="C15" s="21"/>
      <c r="D15" s="18"/>
    </row>
    <row r="16" spans="3:4" x14ac:dyDescent="0.25">
      <c r="C16" s="21"/>
      <c r="D16" s="18"/>
    </row>
    <row r="17" spans="1:7" x14ac:dyDescent="0.25">
      <c r="C17" s="21" t="s">
        <v>80</v>
      </c>
      <c r="D17" s="18"/>
    </row>
    <row r="18" spans="1:7" x14ac:dyDescent="0.25">
      <c r="C18" s="22" t="s">
        <v>73</v>
      </c>
      <c r="D18" s="11" t="s">
        <v>35</v>
      </c>
    </row>
    <row r="19" spans="1:7" x14ac:dyDescent="0.25">
      <c r="C19" s="22" t="s">
        <v>75</v>
      </c>
      <c r="D19" s="23">
        <v>10000</v>
      </c>
    </row>
    <row r="20" spans="1:7" x14ac:dyDescent="0.25">
      <c r="C20" s="22" t="s">
        <v>76</v>
      </c>
      <c r="D20" s="11" t="s">
        <v>77</v>
      </c>
    </row>
    <row r="21" spans="1:7" x14ac:dyDescent="0.25">
      <c r="C21" s="21"/>
      <c r="D21" s="18"/>
    </row>
    <row r="22" spans="1:7" x14ac:dyDescent="0.25">
      <c r="C22" s="21" t="s">
        <v>81</v>
      </c>
      <c r="D22" s="18"/>
    </row>
    <row r="23" spans="1:7" x14ac:dyDescent="0.25">
      <c r="C23" s="22" t="s">
        <v>73</v>
      </c>
      <c r="D23" s="11" t="s">
        <v>37</v>
      </c>
    </row>
    <row r="24" spans="1:7" x14ac:dyDescent="0.25">
      <c r="C24" s="22" t="s">
        <v>75</v>
      </c>
      <c r="D24" s="23">
        <v>500000000</v>
      </c>
    </row>
    <row r="25" spans="1:7" x14ac:dyDescent="0.25">
      <c r="C25" s="22" t="s">
        <v>76</v>
      </c>
      <c r="D25" s="11" t="s">
        <v>77</v>
      </c>
    </row>
    <row r="26" spans="1:7" x14ac:dyDescent="0.25">
      <c r="C26" s="21"/>
      <c r="D26" s="18"/>
    </row>
    <row r="27" spans="1:7" x14ac:dyDescent="0.25">
      <c r="C27" s="21"/>
      <c r="D27" s="18"/>
    </row>
    <row r="29" spans="1:7" ht="21" customHeight="1" x14ac:dyDescent="0.25">
      <c r="A29" s="31" t="s">
        <v>92</v>
      </c>
    </row>
    <row r="30" spans="1:7" x14ac:dyDescent="0.25">
      <c r="A30" s="31"/>
    </row>
    <row r="31" spans="1:7" x14ac:dyDescent="0.25">
      <c r="G31" t="s">
        <v>0</v>
      </c>
    </row>
    <row r="32" spans="1:7" x14ac:dyDescent="0.25">
      <c r="A32" s="31"/>
    </row>
  </sheetData>
  <sheetProtection selectLockedCells="1"/>
  <mergeCells count="1">
    <mergeCell ref="C9:D9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 seu  cpf" xr:uid="{009EAA3D-4F19-416D-91A4-EC18F11A7FC2}">
          <x14:formula1>
            <xm:f>Tabela!$A:$A</xm:f>
          </x14:formula1>
          <xm:sqref>D12 D18 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16D6-E071-4337-AD70-57DEAB452319}">
  <dimension ref="A5:J30"/>
  <sheetViews>
    <sheetView showGridLines="0" showRowColHeaders="0" workbookViewId="0"/>
  </sheetViews>
  <sheetFormatPr defaultRowHeight="15" x14ac:dyDescent="0.25"/>
  <cols>
    <col min="1" max="1" width="31.5703125" style="1" customWidth="1"/>
    <col min="2" max="2" width="5.28515625" customWidth="1"/>
    <col min="3" max="3" width="40.85546875" customWidth="1"/>
    <col min="4" max="4" width="33.5703125" style="8" customWidth="1"/>
    <col min="5" max="5" width="15.28515625" style="10" customWidth="1"/>
  </cols>
  <sheetData>
    <row r="5" spans="3:10" ht="20.25" thickBot="1" x14ac:dyDescent="0.35">
      <c r="C5" s="4" t="s">
        <v>83</v>
      </c>
      <c r="D5" s="6"/>
    </row>
    <row r="6" spans="3:10" ht="15.75" customHeight="1" thickTop="1" x14ac:dyDescent="0.25">
      <c r="C6" s="5" t="s">
        <v>84</v>
      </c>
      <c r="D6" s="7"/>
    </row>
    <row r="9" spans="3:10" ht="18.75" x14ac:dyDescent="0.3">
      <c r="C9" s="35" t="s">
        <v>85</v>
      </c>
      <c r="D9" s="35"/>
      <c r="E9" s="35"/>
    </row>
    <row r="10" spans="3:10" x14ac:dyDescent="0.25">
      <c r="C10" s="18" t="s">
        <v>86</v>
      </c>
      <c r="D10" s="18" t="s">
        <v>87</v>
      </c>
      <c r="E10" s="19" t="s">
        <v>74</v>
      </c>
    </row>
    <row r="11" spans="3:10" x14ac:dyDescent="0.25">
      <c r="C11" s="24">
        <v>46099</v>
      </c>
      <c r="D11" s="18" t="s">
        <v>88</v>
      </c>
      <c r="E11" s="19">
        <v>3000</v>
      </c>
    </row>
    <row r="12" spans="3:10" x14ac:dyDescent="0.25">
      <c r="C12" s="24">
        <v>46131</v>
      </c>
      <c r="D12" s="18" t="s">
        <v>89</v>
      </c>
      <c r="E12" s="19">
        <v>6000</v>
      </c>
      <c r="J12" s="3"/>
    </row>
    <row r="13" spans="3:10" x14ac:dyDescent="0.25">
      <c r="C13" s="24">
        <v>46162</v>
      </c>
      <c r="D13" s="18" t="s">
        <v>90</v>
      </c>
      <c r="E13" s="19">
        <v>10000</v>
      </c>
    </row>
    <row r="14" spans="3:10" x14ac:dyDescent="0.25">
      <c r="C14" s="24">
        <v>46194</v>
      </c>
      <c r="D14" s="18" t="s">
        <v>88</v>
      </c>
      <c r="E14" s="19">
        <v>3000</v>
      </c>
    </row>
    <row r="15" spans="3:10" x14ac:dyDescent="0.25">
      <c r="C15" s="24">
        <v>46225</v>
      </c>
      <c r="D15" s="18" t="s">
        <v>89</v>
      </c>
      <c r="E15" s="19">
        <v>6000</v>
      </c>
    </row>
    <row r="16" spans="3:10" x14ac:dyDescent="0.25">
      <c r="C16" s="24">
        <v>46257</v>
      </c>
      <c r="D16" s="18" t="s">
        <v>90</v>
      </c>
      <c r="E16" s="19">
        <v>10000</v>
      </c>
    </row>
    <row r="17" spans="1:5" x14ac:dyDescent="0.25">
      <c r="C17" s="24">
        <v>46289</v>
      </c>
      <c r="D17" s="18" t="s">
        <v>88</v>
      </c>
      <c r="E17" s="19">
        <v>3000</v>
      </c>
    </row>
    <row r="18" spans="1:5" x14ac:dyDescent="0.25">
      <c r="C18" s="24">
        <v>46320</v>
      </c>
      <c r="D18" s="18" t="s">
        <v>89</v>
      </c>
      <c r="E18" s="19">
        <v>6000</v>
      </c>
    </row>
    <row r="19" spans="1:5" x14ac:dyDescent="0.25">
      <c r="C19" s="24">
        <v>46352</v>
      </c>
      <c r="D19" s="18" t="s">
        <v>90</v>
      </c>
      <c r="E19" s="19">
        <v>10000</v>
      </c>
    </row>
    <row r="20" spans="1:5" x14ac:dyDescent="0.25">
      <c r="C20" s="24">
        <v>46383</v>
      </c>
      <c r="D20" s="18" t="s">
        <v>88</v>
      </c>
      <c r="E20" s="19">
        <v>3000</v>
      </c>
    </row>
    <row r="21" spans="1:5" x14ac:dyDescent="0.25">
      <c r="C21" s="24"/>
      <c r="D21" s="18"/>
      <c r="E21" s="19"/>
    </row>
    <row r="22" spans="1:5" x14ac:dyDescent="0.25">
      <c r="C22" s="24"/>
      <c r="D22" s="18"/>
      <c r="E22" s="19"/>
    </row>
    <row r="23" spans="1:5" x14ac:dyDescent="0.25">
      <c r="C23" s="24"/>
      <c r="D23" s="18"/>
      <c r="E23" s="19"/>
    </row>
    <row r="24" spans="1:5" x14ac:dyDescent="0.25">
      <c r="C24" s="24"/>
      <c r="D24" s="18"/>
      <c r="E24" s="19"/>
    </row>
    <row r="25" spans="1:5" x14ac:dyDescent="0.25">
      <c r="C25" s="24"/>
      <c r="D25" s="18"/>
      <c r="E25" s="19"/>
    </row>
    <row r="26" spans="1:5" x14ac:dyDescent="0.25">
      <c r="C26" s="24"/>
      <c r="D26" s="18"/>
      <c r="E26" s="19"/>
    </row>
    <row r="27" spans="1:5" x14ac:dyDescent="0.25">
      <c r="C27" s="24"/>
      <c r="D27" s="18"/>
      <c r="E27" s="19"/>
    </row>
    <row r="28" spans="1:5" x14ac:dyDescent="0.25">
      <c r="C28" s="24"/>
      <c r="D28" s="18"/>
      <c r="E28" s="19"/>
    </row>
    <row r="29" spans="1:5" s="8" customFormat="1" ht="21" customHeight="1" x14ac:dyDescent="0.25">
      <c r="A29" s="31" t="s">
        <v>92</v>
      </c>
      <c r="C29" s="32"/>
      <c r="D29" s="18"/>
      <c r="E29" s="19"/>
    </row>
    <row r="30" spans="1:5" x14ac:dyDescent="0.25">
      <c r="C30" s="20"/>
      <c r="D30" s="18"/>
      <c r="E30" s="19"/>
    </row>
  </sheetData>
  <sheetProtection selectLockedCells="1"/>
  <mergeCells count="1">
    <mergeCell ref="C9:E9"/>
  </mergeCells>
  <dataValidations count="1">
    <dataValidation type="list" allowBlank="1" showInputMessage="1" showErrorMessage="1" sqref="D11:D30" xr:uid="{16FD4064-9868-4A1A-9237-B42E92646423}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365BA-3678-4100-B42F-F3319F84EC5C}">
  <dimension ref="A5:G30"/>
  <sheetViews>
    <sheetView showGridLines="0" showRowColHeaders="0" tabSelected="1" workbookViewId="0"/>
  </sheetViews>
  <sheetFormatPr defaultRowHeight="15" x14ac:dyDescent="0.25"/>
  <cols>
    <col min="1" max="1" width="31.5703125" style="1" customWidth="1"/>
    <col min="2" max="2" width="5.28515625" customWidth="1"/>
    <col min="3" max="3" width="40.85546875" customWidth="1"/>
    <col min="4" max="4" width="33.5703125" style="8" customWidth="1"/>
    <col min="5" max="5" width="15.28515625" style="10" customWidth="1"/>
  </cols>
  <sheetData>
    <row r="5" spans="3:7" ht="20.25" thickBot="1" x14ac:dyDescent="0.35">
      <c r="C5" s="4" t="s">
        <v>91</v>
      </c>
      <c r="D5" s="6"/>
      <c r="E5" s="29"/>
    </row>
    <row r="6" spans="3:7" ht="15.75" customHeight="1" thickTop="1" x14ac:dyDescent="0.25">
      <c r="C6" s="25"/>
      <c r="D6" s="26"/>
    </row>
    <row r="8" spans="3:7" x14ac:dyDescent="0.25">
      <c r="C8" s="27"/>
      <c r="D8" s="28">
        <f>SUM(NOTAS!E11:E20)</f>
        <v>60000</v>
      </c>
    </row>
    <row r="9" spans="3:7" ht="18.75" x14ac:dyDescent="0.3">
      <c r="C9" s="36"/>
      <c r="D9" s="36"/>
      <c r="E9" s="36"/>
    </row>
    <row r="10" spans="3:7" x14ac:dyDescent="0.25">
      <c r="D10"/>
      <c r="E10"/>
    </row>
    <row r="11" spans="3:7" x14ac:dyDescent="0.25">
      <c r="D11"/>
      <c r="E11"/>
    </row>
    <row r="12" spans="3:7" x14ac:dyDescent="0.25">
      <c r="D12"/>
      <c r="E12"/>
      <c r="G12" s="3"/>
    </row>
    <row r="13" spans="3:7" x14ac:dyDescent="0.25">
      <c r="D13"/>
      <c r="E13"/>
    </row>
    <row r="14" spans="3:7" x14ac:dyDescent="0.25">
      <c r="D14"/>
      <c r="E14"/>
    </row>
    <row r="15" spans="3:7" x14ac:dyDescent="0.25">
      <c r="D15"/>
      <c r="E15"/>
    </row>
    <row r="16" spans="3:7" x14ac:dyDescent="0.25">
      <c r="D16"/>
      <c r="E16"/>
    </row>
    <row r="17" spans="1:5" x14ac:dyDescent="0.25">
      <c r="D17"/>
      <c r="E17"/>
    </row>
    <row r="18" spans="1:5" x14ac:dyDescent="0.25">
      <c r="D18"/>
      <c r="E18"/>
    </row>
    <row r="19" spans="1:5" x14ac:dyDescent="0.25">
      <c r="D19"/>
      <c r="E19"/>
    </row>
    <row r="20" spans="1:5" x14ac:dyDescent="0.25">
      <c r="D20"/>
      <c r="E20"/>
    </row>
    <row r="21" spans="1:5" x14ac:dyDescent="0.25">
      <c r="D21"/>
      <c r="E21"/>
    </row>
    <row r="22" spans="1:5" x14ac:dyDescent="0.25">
      <c r="D22"/>
      <c r="E22"/>
    </row>
    <row r="23" spans="1:5" x14ac:dyDescent="0.25">
      <c r="D23"/>
      <c r="E23"/>
    </row>
    <row r="24" spans="1:5" x14ac:dyDescent="0.25">
      <c r="D24"/>
      <c r="E24"/>
    </row>
    <row r="25" spans="1:5" x14ac:dyDescent="0.25">
      <c r="D25"/>
      <c r="E25"/>
    </row>
    <row r="26" spans="1:5" x14ac:dyDescent="0.25">
      <c r="D26"/>
      <c r="E26"/>
    </row>
    <row r="27" spans="1:5" x14ac:dyDescent="0.25">
      <c r="D27"/>
      <c r="E27"/>
    </row>
    <row r="28" spans="1:5" x14ac:dyDescent="0.25">
      <c r="D28"/>
      <c r="E28"/>
    </row>
    <row r="29" spans="1:5" s="8" customFormat="1" ht="21" customHeight="1" x14ac:dyDescent="0.25">
      <c r="A29" s="31" t="s">
        <v>92</v>
      </c>
    </row>
    <row r="30" spans="1:5" x14ac:dyDescent="0.25">
      <c r="D30"/>
      <c r="E30"/>
    </row>
  </sheetData>
  <sheetProtection selectLockedCells="1"/>
  <mergeCells count="1">
    <mergeCell ref="C9:E9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00CE-A118-4C06-AB46-066DCC2571DE}">
  <dimension ref="A1:A51"/>
  <sheetViews>
    <sheetView workbookViewId="0">
      <selection activeCell="G33" sqref="G33"/>
    </sheetView>
  </sheetViews>
  <sheetFormatPr defaultRowHeight="15" x14ac:dyDescent="0.25"/>
  <sheetData>
    <row r="1" spans="1:1" x14ac:dyDescent="0.25">
      <c r="A1" t="s">
        <v>22</v>
      </c>
    </row>
    <row r="2" spans="1:1" x14ac:dyDescent="0.25">
      <c r="A2" t="s">
        <v>23</v>
      </c>
    </row>
    <row r="3" spans="1:1" x14ac:dyDescent="0.25">
      <c r="A3" t="s">
        <v>24</v>
      </c>
    </row>
    <row r="4" spans="1:1" x14ac:dyDescent="0.25">
      <c r="A4" t="s">
        <v>25</v>
      </c>
    </row>
    <row r="5" spans="1:1" x14ac:dyDescent="0.25">
      <c r="A5" t="s">
        <v>26</v>
      </c>
    </row>
    <row r="6" spans="1:1" x14ac:dyDescent="0.25">
      <c r="A6" t="s">
        <v>27</v>
      </c>
    </row>
    <row r="7" spans="1:1" x14ac:dyDescent="0.25">
      <c r="A7" t="s">
        <v>28</v>
      </c>
    </row>
    <row r="8" spans="1:1" x14ac:dyDescent="0.25">
      <c r="A8" t="s">
        <v>29</v>
      </c>
    </row>
    <row r="9" spans="1:1" x14ac:dyDescent="0.25">
      <c r="A9" t="s">
        <v>30</v>
      </c>
    </row>
    <row r="10" spans="1:1" x14ac:dyDescent="0.25">
      <c r="A10" t="s">
        <v>31</v>
      </c>
    </row>
    <row r="11" spans="1:1" x14ac:dyDescent="0.25">
      <c r="A11" t="s">
        <v>32</v>
      </c>
    </row>
    <row r="12" spans="1:1" x14ac:dyDescent="0.25">
      <c r="A12" t="s">
        <v>33</v>
      </c>
    </row>
    <row r="13" spans="1:1" x14ac:dyDescent="0.25">
      <c r="A13" t="s">
        <v>34</v>
      </c>
    </row>
    <row r="14" spans="1:1" x14ac:dyDescent="0.25">
      <c r="A14" t="s">
        <v>35</v>
      </c>
    </row>
    <row r="15" spans="1:1" x14ac:dyDescent="0.25">
      <c r="A15" t="s">
        <v>36</v>
      </c>
    </row>
    <row r="16" spans="1:1" x14ac:dyDescent="0.25">
      <c r="A16" t="s">
        <v>37</v>
      </c>
    </row>
    <row r="17" spans="1:1" x14ac:dyDescent="0.25">
      <c r="A17" t="s">
        <v>38</v>
      </c>
    </row>
    <row r="18" spans="1:1" x14ac:dyDescent="0.25">
      <c r="A18" t="s">
        <v>39</v>
      </c>
    </row>
    <row r="19" spans="1:1" x14ac:dyDescent="0.25">
      <c r="A19" t="s">
        <v>40</v>
      </c>
    </row>
    <row r="20" spans="1:1" x14ac:dyDescent="0.25">
      <c r="A20" t="s">
        <v>41</v>
      </c>
    </row>
    <row r="21" spans="1:1" x14ac:dyDescent="0.25">
      <c r="A21" t="s">
        <v>42</v>
      </c>
    </row>
    <row r="22" spans="1:1" x14ac:dyDescent="0.25">
      <c r="A22" t="s">
        <v>43</v>
      </c>
    </row>
    <row r="23" spans="1:1" x14ac:dyDescent="0.25">
      <c r="A23" t="s">
        <v>44</v>
      </c>
    </row>
    <row r="24" spans="1:1" x14ac:dyDescent="0.25">
      <c r="A24" t="s">
        <v>45</v>
      </c>
    </row>
    <row r="25" spans="1:1" x14ac:dyDescent="0.25">
      <c r="A25" t="s">
        <v>46</v>
      </c>
    </row>
    <row r="26" spans="1:1" x14ac:dyDescent="0.25">
      <c r="A26" t="s">
        <v>47</v>
      </c>
    </row>
    <row r="27" spans="1:1" x14ac:dyDescent="0.25">
      <c r="A27" t="s">
        <v>48</v>
      </c>
    </row>
    <row r="28" spans="1:1" x14ac:dyDescent="0.25">
      <c r="A28" t="s">
        <v>49</v>
      </c>
    </row>
    <row r="29" spans="1:1" x14ac:dyDescent="0.25">
      <c r="A29" t="s">
        <v>50</v>
      </c>
    </row>
    <row r="30" spans="1:1" x14ac:dyDescent="0.25">
      <c r="A30" t="s">
        <v>51</v>
      </c>
    </row>
    <row r="31" spans="1:1" x14ac:dyDescent="0.25">
      <c r="A31" t="s">
        <v>52</v>
      </c>
    </row>
    <row r="32" spans="1:1" x14ac:dyDescent="0.25">
      <c r="A32" t="s">
        <v>53</v>
      </c>
    </row>
    <row r="33" spans="1:1" x14ac:dyDescent="0.25">
      <c r="A33" t="s">
        <v>54</v>
      </c>
    </row>
    <row r="34" spans="1:1" x14ac:dyDescent="0.25">
      <c r="A34" t="s">
        <v>55</v>
      </c>
    </row>
    <row r="35" spans="1:1" x14ac:dyDescent="0.25">
      <c r="A35" t="s">
        <v>56</v>
      </c>
    </row>
    <row r="36" spans="1:1" x14ac:dyDescent="0.25">
      <c r="A36" t="s">
        <v>57</v>
      </c>
    </row>
    <row r="37" spans="1:1" x14ac:dyDescent="0.25">
      <c r="A37" t="s">
        <v>58</v>
      </c>
    </row>
    <row r="38" spans="1:1" x14ac:dyDescent="0.25">
      <c r="A38" t="s">
        <v>59</v>
      </c>
    </row>
    <row r="39" spans="1:1" x14ac:dyDescent="0.25">
      <c r="A39" t="s">
        <v>60</v>
      </c>
    </row>
    <row r="40" spans="1:1" x14ac:dyDescent="0.25">
      <c r="A40" t="s">
        <v>61</v>
      </c>
    </row>
    <row r="41" spans="1:1" x14ac:dyDescent="0.25">
      <c r="A41" t="s">
        <v>62</v>
      </c>
    </row>
    <row r="42" spans="1:1" x14ac:dyDescent="0.25">
      <c r="A42" t="s">
        <v>63</v>
      </c>
    </row>
    <row r="43" spans="1:1" x14ac:dyDescent="0.25">
      <c r="A43" t="s">
        <v>64</v>
      </c>
    </row>
    <row r="44" spans="1:1" x14ac:dyDescent="0.25">
      <c r="A44" t="s">
        <v>65</v>
      </c>
    </row>
    <row r="45" spans="1:1" x14ac:dyDescent="0.25">
      <c r="A45" t="s">
        <v>66</v>
      </c>
    </row>
    <row r="46" spans="1:1" x14ac:dyDescent="0.25">
      <c r="A46" t="s">
        <v>67</v>
      </c>
    </row>
    <row r="47" spans="1:1" x14ac:dyDescent="0.25">
      <c r="A47" t="s">
        <v>68</v>
      </c>
    </row>
    <row r="48" spans="1:1" x14ac:dyDescent="0.25">
      <c r="A48" t="s">
        <v>69</v>
      </c>
    </row>
    <row r="49" spans="1:1" x14ac:dyDescent="0.25">
      <c r="A49" t="s">
        <v>70</v>
      </c>
    </row>
    <row r="50" spans="1:1" x14ac:dyDescent="0.25">
      <c r="A50" t="s">
        <v>71</v>
      </c>
    </row>
    <row r="51" spans="1:1" x14ac:dyDescent="0.25">
      <c r="A51" t="s">
        <v>72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TITULAR</vt:lpstr>
      <vt:lpstr>INFORMES</vt:lpstr>
      <vt:lpstr>NOTAS</vt:lpstr>
      <vt:lpstr>Dashboard Financeiro</vt:lpstr>
      <vt:lpstr>Tabela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Mayke Honorato Mazon</dc:creator>
  <cp:lastModifiedBy>mayke honorato</cp:lastModifiedBy>
  <dcterms:created xsi:type="dcterms:W3CDTF">2026-03-02T00:29:17Z</dcterms:created>
  <dcterms:modified xsi:type="dcterms:W3CDTF">2026-03-23T22:39:30Z</dcterms:modified>
</cp:coreProperties>
</file>