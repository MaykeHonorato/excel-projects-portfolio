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ayke Honorato Mazon\Desktop\Projetos\Dio\Execel\"/>
    </mc:Choice>
  </mc:AlternateContent>
  <xr:revisionPtr revIDLastSave="0" documentId="13_ncr:1_{21E03146-BB1D-4E61-9367-4931C401F901}" xr6:coauthVersionLast="47" xr6:coauthVersionMax="47" xr10:uidLastSave="{00000000-0000-0000-0000-000000000000}"/>
  <bookViews>
    <workbookView xWindow="-28920" yWindow="-120" windowWidth="29040" windowHeight="15720" tabRatio="517" xr2:uid="{00000000-000D-0000-FFFF-FFFF00000000}"/>
  </bookViews>
  <sheets>
    <sheet name="Planilha1" sheetId="1" r:id="rId1"/>
    <sheet name="Planilha2" sheetId="2" r:id="rId2"/>
  </sheets>
  <definedNames>
    <definedName name="aporte">Planilha1!$F$23</definedName>
    <definedName name="qtd_anos">Planilha1!$F$24</definedName>
    <definedName name="rendimento_carteira">Planilha1!$D$17</definedName>
    <definedName name="salario">Planilha1!$D$16</definedName>
    <definedName name="sugestal_investimento">Planilha1!$D$18</definedName>
    <definedName name="taxa_mensal">Planilha1!$F$25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6" i="1" l="1"/>
  <c r="D18" i="1"/>
  <c r="F38" i="1" l="1"/>
  <c r="F34" i="1" l="1"/>
  <c r="F31" i="1"/>
  <c r="F30" i="1"/>
  <c r="D42" i="1"/>
  <c r="F42" i="1" s="1"/>
  <c r="D43" i="1"/>
  <c r="F43" i="1" s="1"/>
  <c r="D44" i="1"/>
  <c r="F44" i="1" s="1"/>
  <c r="D45" i="1"/>
  <c r="D46" i="1"/>
  <c r="D41" i="1"/>
  <c r="F41" i="1" s="1"/>
  <c r="H5" i="2"/>
  <c r="F27" i="1"/>
  <c r="F46" i="1" l="1"/>
  <c r="F45" i="1"/>
  <c r="G31" i="1"/>
  <c r="F32" i="1"/>
  <c r="G32" i="1" s="1"/>
  <c r="F33" i="1"/>
  <c r="G33" i="1" s="1"/>
  <c r="G34" i="1"/>
  <c r="G30" i="1"/>
  <c r="B47" i="1" l="1"/>
</calcChain>
</file>

<file path=xl/sharedStrings.xml><?xml version="1.0" encoding="utf-8"?>
<sst xmlns="http://schemas.openxmlformats.org/spreadsheetml/2006/main" count="88" uniqueCount="51">
  <si>
    <t>INVESTIMENTO MENSAL</t>
  </si>
  <si>
    <t>Quanto investir pormês</t>
  </si>
  <si>
    <t>Por quantos Anos</t>
  </si>
  <si>
    <t>Taxa de Redimento mensal</t>
  </si>
  <si>
    <t>Patrimonio acumalado</t>
  </si>
  <si>
    <t>Dividendo mensais</t>
  </si>
  <si>
    <t>Quantos em 2 Anos</t>
  </si>
  <si>
    <t>Quantos em 5 Anos</t>
  </si>
  <si>
    <t>Quantos em 10 Anos</t>
  </si>
  <si>
    <t>Quantos em 20 Anos</t>
  </si>
  <si>
    <t>Quantos em 30 Anos</t>
  </si>
  <si>
    <t xml:space="preserve">CENARIOS         </t>
  </si>
  <si>
    <t>Dividendo</t>
  </si>
  <si>
    <t>CONFIGURAÇÕES</t>
  </si>
  <si>
    <t>Salário</t>
  </si>
  <si>
    <t>Rendimento Carteira</t>
  </si>
  <si>
    <t>Suguestao de Investimento</t>
  </si>
  <si>
    <t>PERFIL</t>
  </si>
  <si>
    <t>Moderado</t>
  </si>
  <si>
    <t>Conservador</t>
  </si>
  <si>
    <t>VALOR A SER INVESTIDO POR MÊS</t>
  </si>
  <si>
    <t>TIPO DE FII</t>
  </si>
  <si>
    <t>PERCENTUAL</t>
  </si>
  <si>
    <t>VALORES</t>
  </si>
  <si>
    <t>PAPEL</t>
  </si>
  <si>
    <t>TIJOLO</t>
  </si>
  <si>
    <t>HIBRIDOS</t>
  </si>
  <si>
    <t>FOFS</t>
  </si>
  <si>
    <t>DESENVOLVIMENTO</t>
  </si>
  <si>
    <t>HOTELARIA</t>
  </si>
  <si>
    <t>CHAVE</t>
  </si>
  <si>
    <t>%</t>
  </si>
  <si>
    <t>Conservador-PAPEL</t>
  </si>
  <si>
    <t>Conservador-TIJOLO</t>
  </si>
  <si>
    <t>Conservador-HIBRIDOS</t>
  </si>
  <si>
    <t>Conservador-FOFS</t>
  </si>
  <si>
    <t>Conservador-DESENVOLVIMENTO</t>
  </si>
  <si>
    <t>Conservador-HOTELARIA</t>
  </si>
  <si>
    <t>Moderado-PAPEL</t>
  </si>
  <si>
    <t>Moderado-TIJOLO</t>
  </si>
  <si>
    <t>Moderado-HIBRIDOS</t>
  </si>
  <si>
    <t>Moderado-FOFS</t>
  </si>
  <si>
    <t>Moderado-DESENVOLVIMENTO</t>
  </si>
  <si>
    <t>Moderado-HOTELARIA</t>
  </si>
  <si>
    <t>Agressivo</t>
  </si>
  <si>
    <t>Agressivo-PAPEL</t>
  </si>
  <si>
    <t>Agressivo-TIJOLO</t>
  </si>
  <si>
    <t>Agressivo-HIBRIDOS</t>
  </si>
  <si>
    <t>Agressivo-FOFS</t>
  </si>
  <si>
    <t>Agressivo-DESENVOLVIMENTO</t>
  </si>
  <si>
    <t>Agressivo-HOTELARIA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</si>
</sst>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7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medium">
        <color indexed="64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 style="medium">
        <color indexed="64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medium">
        <color indexed="64"/>
      </bottom>
      <diagonal/>
    </border>
    <border>
      <left style="medium">
        <color indexed="64"/>
      </left>
      <right style="thin">
        <color theme="1" tint="0.34998626667073579"/>
      </right>
      <top style="medium">
        <color indexed="64"/>
      </top>
      <bottom style="thin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14996795556505021"/>
      </right>
      <top style="medium">
        <color indexed="64"/>
      </top>
      <bottom/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2" fillId="5" borderId="0" applyNumberFormat="0" applyBorder="0" applyAlignment="0" applyProtection="0"/>
  </cellStyleXfs>
  <cellXfs count="67">
    <xf numFmtId="0" fontId="0" fillId="0" borderId="0" xfId="0"/>
    <xf numFmtId="0" fontId="4" fillId="2" borderId="1" xfId="0" applyFont="1" applyFill="1" applyBorder="1" applyAlignment="1"/>
    <xf numFmtId="0" fontId="4" fillId="2" borderId="2" xfId="0" applyFont="1" applyFill="1" applyBorder="1" applyAlignment="1"/>
    <xf numFmtId="0" fontId="4" fillId="2" borderId="3" xfId="0" applyFont="1" applyFill="1" applyBorder="1" applyAlignment="1"/>
    <xf numFmtId="0" fontId="2" fillId="0" borderId="0" xfId="0" applyFont="1"/>
    <xf numFmtId="164" fontId="0" fillId="0" borderId="6" xfId="0" applyNumberFormat="1" applyBorder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64" fontId="12" fillId="8" borderId="11" xfId="1" applyNumberFormat="1" applyFont="1" applyFill="1" applyBorder="1" applyAlignment="1">
      <alignment horizontal="center" vertical="center"/>
    </xf>
    <xf numFmtId="0" fontId="12" fillId="8" borderId="13" xfId="0" applyFont="1" applyFill="1" applyBorder="1" applyAlignment="1">
      <alignment horizontal="center"/>
    </xf>
    <xf numFmtId="10" fontId="12" fillId="8" borderId="13" xfId="2" applyNumberFormat="1" applyFont="1" applyFill="1" applyBorder="1" applyAlignment="1">
      <alignment horizontal="center"/>
    </xf>
    <xf numFmtId="8" fontId="12" fillId="8" borderId="13" xfId="0" applyNumberFormat="1" applyFont="1" applyFill="1" applyBorder="1" applyAlignment="1">
      <alignment horizontal="center"/>
    </xf>
    <xf numFmtId="8" fontId="12" fillId="8" borderId="15" xfId="0" applyNumberFormat="1" applyFont="1" applyFill="1" applyBorder="1" applyAlignment="1">
      <alignment horizontal="center"/>
    </xf>
    <xf numFmtId="164" fontId="12" fillId="8" borderId="10" xfId="1" applyNumberFormat="1" applyFont="1" applyFill="1" applyBorder="1" applyAlignment="1">
      <alignment horizontal="center" vertical="center"/>
    </xf>
    <xf numFmtId="164" fontId="12" fillId="8" borderId="11" xfId="0" applyNumberFormat="1" applyFont="1" applyFill="1" applyBorder="1"/>
    <xf numFmtId="164" fontId="12" fillId="8" borderId="12" xfId="1" applyNumberFormat="1" applyFont="1" applyFill="1" applyBorder="1" applyAlignment="1">
      <alignment horizontal="center" vertical="center"/>
    </xf>
    <xf numFmtId="164" fontId="12" fillId="8" borderId="13" xfId="0" applyNumberFormat="1" applyFont="1" applyFill="1" applyBorder="1"/>
    <xf numFmtId="164" fontId="12" fillId="8" borderId="14" xfId="1" applyNumberFormat="1" applyFont="1" applyFill="1" applyBorder="1" applyAlignment="1">
      <alignment horizontal="center" vertical="center"/>
    </xf>
    <xf numFmtId="164" fontId="12" fillId="8" borderId="15" xfId="0" applyNumberFormat="1" applyFont="1" applyFill="1" applyBorder="1"/>
    <xf numFmtId="10" fontId="12" fillId="0" borderId="13" xfId="0" applyNumberFormat="1" applyFont="1" applyBorder="1" applyAlignment="1">
      <alignment horizontal="center"/>
    </xf>
    <xf numFmtId="164" fontId="12" fillId="0" borderId="15" xfId="0" applyNumberFormat="1" applyFont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164" fontId="12" fillId="0" borderId="11" xfId="1" applyNumberFormat="1" applyFont="1" applyBorder="1" applyAlignment="1">
      <alignment horizontal="center"/>
    </xf>
    <xf numFmtId="0" fontId="2" fillId="5" borderId="0" xfId="5"/>
    <xf numFmtId="0" fontId="7" fillId="5" borderId="0" xfId="5" applyFont="1"/>
    <xf numFmtId="0" fontId="0" fillId="0" borderId="0" xfId="0" applyAlignment="1"/>
    <xf numFmtId="164" fontId="8" fillId="0" borderId="0" xfId="0" applyNumberFormat="1" applyFont="1" applyAlignment="1">
      <alignment horizontal="center"/>
    </xf>
    <xf numFmtId="0" fontId="13" fillId="3" borderId="0" xfId="3" applyFont="1" applyAlignment="1">
      <alignment horizontal="center"/>
    </xf>
    <xf numFmtId="0" fontId="0" fillId="0" borderId="22" xfId="0" applyBorder="1" applyAlignment="1">
      <alignment horizontal="center"/>
    </xf>
    <xf numFmtId="9" fontId="0" fillId="0" borderId="22" xfId="0" applyNumberFormat="1" applyBorder="1" applyAlignment="1">
      <alignment horizontal="center"/>
    </xf>
    <xf numFmtId="0" fontId="6" fillId="4" borderId="0" xfId="4" applyAlignment="1"/>
    <xf numFmtId="9" fontId="6" fillId="4" borderId="0" xfId="2" applyFont="1" applyFill="1" applyAlignment="1"/>
    <xf numFmtId="0" fontId="11" fillId="7" borderId="16" xfId="0" applyFont="1" applyFill="1" applyBorder="1" applyAlignment="1">
      <alignment horizontal="left" indent="1"/>
    </xf>
    <xf numFmtId="0" fontId="11" fillId="7" borderId="17" xfId="0" applyFont="1" applyFill="1" applyBorder="1" applyAlignment="1">
      <alignment horizontal="left" indent="1"/>
    </xf>
    <xf numFmtId="0" fontId="11" fillId="7" borderId="18" xfId="0" applyFont="1" applyFill="1" applyBorder="1" applyAlignment="1">
      <alignment horizontal="left" indent="1"/>
    </xf>
    <xf numFmtId="0" fontId="8" fillId="9" borderId="2" xfId="0" applyFont="1" applyFill="1" applyBorder="1" applyAlignment="1">
      <alignment horizontal="center"/>
    </xf>
    <xf numFmtId="0" fontId="0" fillId="9" borderId="2" xfId="0" applyFill="1" applyBorder="1" applyAlignment="1"/>
    <xf numFmtId="0" fontId="8" fillId="9" borderId="3" xfId="0" applyFont="1" applyFill="1" applyBorder="1" applyAlignment="1">
      <alignment horizontal="center"/>
    </xf>
    <xf numFmtId="164" fontId="0" fillId="0" borderId="25" xfId="0" applyNumberFormat="1" applyBorder="1"/>
    <xf numFmtId="0" fontId="7" fillId="5" borderId="0" xfId="5" applyFont="1" applyAlignment="1">
      <alignment horizontal="center"/>
    </xf>
    <xf numFmtId="0" fontId="8" fillId="0" borderId="0" xfId="0" applyFont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11" fillId="8" borderId="16" xfId="0" applyFont="1" applyFill="1" applyBorder="1" applyAlignment="1">
      <alignment horizontal="left" indent="3"/>
    </xf>
    <xf numFmtId="0" fontId="11" fillId="8" borderId="10" xfId="0" applyFont="1" applyFill="1" applyBorder="1" applyAlignment="1">
      <alignment horizontal="left" indent="3"/>
    </xf>
    <xf numFmtId="0" fontId="11" fillId="8" borderId="17" xfId="0" applyFont="1" applyFill="1" applyBorder="1" applyAlignment="1">
      <alignment horizontal="left" indent="3"/>
    </xf>
    <xf numFmtId="0" fontId="11" fillId="8" borderId="12" xfId="0" applyFont="1" applyFill="1" applyBorder="1" applyAlignment="1">
      <alignment horizontal="left" indent="3"/>
    </xf>
    <xf numFmtId="0" fontId="10" fillId="8" borderId="17" xfId="0" applyFont="1" applyFill="1" applyBorder="1" applyAlignment="1">
      <alignment horizontal="left" indent="3"/>
    </xf>
    <xf numFmtId="0" fontId="10" fillId="8" borderId="12" xfId="0" applyFont="1" applyFill="1" applyBorder="1" applyAlignment="1">
      <alignment horizontal="left" indent="3"/>
    </xf>
    <xf numFmtId="0" fontId="10" fillId="8" borderId="18" xfId="0" applyFont="1" applyFill="1" applyBorder="1" applyAlignment="1">
      <alignment horizontal="left" indent="3"/>
    </xf>
    <xf numFmtId="0" fontId="10" fillId="8" borderId="14" xfId="0" applyFont="1" applyFill="1" applyBorder="1" applyAlignment="1">
      <alignment horizontal="left" indent="3"/>
    </xf>
    <xf numFmtId="0" fontId="11" fillId="8" borderId="18" xfId="0" applyFont="1" applyFill="1" applyBorder="1" applyAlignment="1">
      <alignment horizontal="left" indent="3"/>
    </xf>
    <xf numFmtId="0" fontId="11" fillId="8" borderId="14" xfId="0" applyFont="1" applyFill="1" applyBorder="1" applyAlignment="1">
      <alignment horizontal="left" indent="3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164" fontId="0" fillId="9" borderId="7" xfId="0" applyNumberFormat="1" applyFill="1" applyBorder="1" applyAlignment="1">
      <alignment horizontal="right"/>
    </xf>
    <xf numFmtId="164" fontId="0" fillId="9" borderId="8" xfId="0" applyNumberFormat="1" applyFill="1" applyBorder="1" applyAlignment="1">
      <alignment horizontal="right"/>
    </xf>
    <xf numFmtId="164" fontId="0" fillId="9" borderId="9" xfId="0" applyNumberFormat="1" applyFill="1" applyBorder="1" applyAlignment="1">
      <alignment horizontal="right"/>
    </xf>
    <xf numFmtId="9" fontId="0" fillId="0" borderId="24" xfId="0" applyNumberFormat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</cellXfs>
  <cellStyles count="6">
    <cellStyle name="Bom" xfId="3" builtinId="26"/>
    <cellStyle name="Ênfase4" xfId="5" builtinId="41"/>
    <cellStyle name="Moeda" xfId="1" builtinId="4"/>
    <cellStyle name="Normal" xfId="0" builtinId="0"/>
    <cellStyle name="Porcentagem" xfId="2" builtinId="5"/>
    <cellStyle name="Ruim" xfId="4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76200</xdr:colOff>
      <xdr:row>0</xdr:row>
      <xdr:rowOff>0</xdr:rowOff>
    </xdr:from>
    <xdr:to>
      <xdr:col>16382</xdr:col>
      <xdr:colOff>353786</xdr:colOff>
      <xdr:row>12</xdr:row>
      <xdr:rowOff>66675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6" t="2279" r="-1" b="-1152"/>
        <a:stretch/>
      </xdr:blipFill>
      <xdr:spPr>
        <a:xfrm>
          <a:off x="76200" y="0"/>
          <a:ext cx="9040586" cy="2066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XFC47"/>
  <sheetViews>
    <sheetView showGridLines="0" tabSelected="1" zoomScale="70" zoomScaleNormal="70" workbookViewId="0">
      <selection activeCell="E56" sqref="E56"/>
    </sheetView>
  </sheetViews>
  <sheetFormatPr defaultColWidth="0" defaultRowHeight="15" x14ac:dyDescent="0.25"/>
  <cols>
    <col min="1" max="1" width="6.28515625" customWidth="1"/>
    <col min="2" max="2" width="13.140625" customWidth="1"/>
    <col min="3" max="3" width="29.28515625" customWidth="1"/>
    <col min="4" max="4" width="31.28515625" bestFit="1" customWidth="1"/>
    <col min="5" max="5" width="8.85546875" customWidth="1"/>
    <col min="6" max="6" width="26.42578125" customWidth="1"/>
    <col min="7" max="7" width="13.140625" customWidth="1"/>
    <col min="8" max="8" width="9.140625" hidden="1" customWidth="1"/>
    <col min="9" max="9" width="25.7109375" hidden="1" customWidth="1"/>
    <col min="10" max="10" width="14.28515625" hidden="1" customWidth="1"/>
    <col min="11" max="11" width="9.140625" hidden="1" customWidth="1"/>
    <col min="12" max="16381" width="9.140625" hidden="1"/>
    <col min="16382" max="16382" width="3" customWidth="1"/>
    <col min="16383" max="16383" width="9.42578125" customWidth="1"/>
    <col min="16384" max="16384" width="3" hidden="1" customWidth="1"/>
  </cols>
  <sheetData>
    <row r="11" spans="3:4" ht="6.75" customHeight="1" x14ac:dyDescent="0.25"/>
    <row r="12" spans="3:4" ht="0.75" customHeight="1" x14ac:dyDescent="0.25"/>
    <row r="14" spans="3:4" ht="33" customHeight="1" thickBot="1" x14ac:dyDescent="0.3"/>
    <row r="15" spans="3:4" ht="24" thickBot="1" x14ac:dyDescent="0.3">
      <c r="C15" s="46" t="s">
        <v>13</v>
      </c>
      <c r="D15" s="47"/>
    </row>
    <row r="16" spans="3:4" ht="15.75" x14ac:dyDescent="0.25">
      <c r="C16" s="32" t="s">
        <v>14</v>
      </c>
      <c r="D16" s="22">
        <v>2000</v>
      </c>
    </row>
    <row r="17" spans="1:7" ht="15.75" x14ac:dyDescent="0.25">
      <c r="C17" s="33" t="s">
        <v>15</v>
      </c>
      <c r="D17" s="19">
        <v>6.0000000000000001E-3</v>
      </c>
    </row>
    <row r="18" spans="1:7" ht="16.5" thickBot="1" x14ac:dyDescent="0.3">
      <c r="A18" s="4">
        <v>30</v>
      </c>
      <c r="C18" s="34" t="s">
        <v>16</v>
      </c>
      <c r="D18" s="20">
        <f>aporte</f>
        <v>200</v>
      </c>
    </row>
    <row r="19" spans="1:7" x14ac:dyDescent="0.25">
      <c r="A19" s="4">
        <v>2</v>
      </c>
    </row>
    <row r="20" spans="1:7" hidden="1" x14ac:dyDescent="0.25"/>
    <row r="21" spans="1:7" ht="15.75" thickBot="1" x14ac:dyDescent="0.3">
      <c r="A21" s="4">
        <v>5</v>
      </c>
    </row>
    <row r="22" spans="1:7" ht="29.25" thickBot="1" x14ac:dyDescent="0.5">
      <c r="A22" s="4">
        <v>10</v>
      </c>
      <c r="B22" s="43" t="s">
        <v>0</v>
      </c>
      <c r="C22" s="44"/>
      <c r="D22" s="44"/>
      <c r="E22" s="44"/>
      <c r="F22" s="45"/>
    </row>
    <row r="23" spans="1:7" ht="15.75" x14ac:dyDescent="0.25">
      <c r="A23" s="4">
        <v>20</v>
      </c>
      <c r="B23" s="48" t="s">
        <v>1</v>
      </c>
      <c r="C23" s="49"/>
      <c r="D23" s="49"/>
      <c r="E23" s="49"/>
      <c r="F23" s="8">
        <v>200</v>
      </c>
    </row>
    <row r="24" spans="1:7" ht="15.75" x14ac:dyDescent="0.25">
      <c r="A24" s="4">
        <v>30</v>
      </c>
      <c r="B24" s="50" t="s">
        <v>2</v>
      </c>
      <c r="C24" s="51"/>
      <c r="D24" s="51"/>
      <c r="E24" s="51"/>
      <c r="F24" s="9">
        <v>5</v>
      </c>
    </row>
    <row r="25" spans="1:7" ht="15.75" x14ac:dyDescent="0.25">
      <c r="B25" s="50" t="s">
        <v>3</v>
      </c>
      <c r="C25" s="51"/>
      <c r="D25" s="51"/>
      <c r="E25" s="51"/>
      <c r="F25" s="10">
        <v>1.0789999999999999E-2</v>
      </c>
    </row>
    <row r="26" spans="1:7" ht="15.75" x14ac:dyDescent="0.25">
      <c r="B26" s="52" t="s">
        <v>4</v>
      </c>
      <c r="C26" s="53"/>
      <c r="D26" s="53"/>
      <c r="E26" s="53"/>
      <c r="F26" s="11">
        <f>FV(F25,F24*12,F23*-1)</f>
        <v>16755.382799697527</v>
      </c>
    </row>
    <row r="27" spans="1:7" ht="16.5" thickBot="1" x14ac:dyDescent="0.3">
      <c r="B27" s="54" t="s">
        <v>5</v>
      </c>
      <c r="C27" s="55"/>
      <c r="D27" s="55"/>
      <c r="E27" s="55"/>
      <c r="F27" s="12">
        <f>F26*D17</f>
        <v>100.53229679818516</v>
      </c>
    </row>
    <row r="28" spans="1:7" ht="15.75" thickBot="1" x14ac:dyDescent="0.3"/>
    <row r="29" spans="1:7" ht="29.25" thickBot="1" x14ac:dyDescent="0.5">
      <c r="B29" s="1" t="s">
        <v>11</v>
      </c>
      <c r="C29" s="2"/>
      <c r="D29" s="2"/>
      <c r="E29" s="2"/>
      <c r="F29" s="3"/>
      <c r="G29" s="21" t="s">
        <v>12</v>
      </c>
    </row>
    <row r="30" spans="1:7" ht="15.75" x14ac:dyDescent="0.25">
      <c r="B30" s="48" t="s">
        <v>6</v>
      </c>
      <c r="C30" s="49"/>
      <c r="D30" s="49"/>
      <c r="E30" s="49"/>
      <c r="F30" s="13">
        <f>FV($F$25,A19*12,$F$23*-1)</f>
        <v>5445.5254595290435</v>
      </c>
      <c r="G30" s="14">
        <f>F30*D17</f>
        <v>32.673152757174265</v>
      </c>
    </row>
    <row r="31" spans="1:7" ht="15.75" x14ac:dyDescent="0.25">
      <c r="B31" s="50" t="s">
        <v>7</v>
      </c>
      <c r="C31" s="51"/>
      <c r="D31" s="51"/>
      <c r="E31" s="51"/>
      <c r="F31" s="15">
        <f>FV($F$25,$A21*12,$F$23*-1)</f>
        <v>16755.382799697527</v>
      </c>
      <c r="G31" s="16">
        <f>F31*D17</f>
        <v>100.53229679818516</v>
      </c>
    </row>
    <row r="32" spans="1:7" ht="15.75" x14ac:dyDescent="0.25">
      <c r="B32" s="50" t="s">
        <v>8</v>
      </c>
      <c r="C32" s="51"/>
      <c r="D32" s="51"/>
      <c r="E32" s="51"/>
      <c r="F32" s="15">
        <f>FV($F$25,$A22*12,$F$23*-1)</f>
        <v>48656.842506034438</v>
      </c>
      <c r="G32" s="16">
        <f>F32*D17</f>
        <v>291.94105503620665</v>
      </c>
    </row>
    <row r="33" spans="2:7" ht="15.75" x14ac:dyDescent="0.25">
      <c r="B33" s="50" t="s">
        <v>9</v>
      </c>
      <c r="C33" s="51"/>
      <c r="D33" s="51"/>
      <c r="E33" s="51"/>
      <c r="F33" s="15">
        <f>FV($F$25,$A23*12,$F$23*-1)</f>
        <v>225039.68001941612</v>
      </c>
      <c r="G33" s="16">
        <f>F33*D17</f>
        <v>1350.2380801164968</v>
      </c>
    </row>
    <row r="34" spans="2:7" ht="16.5" thickBot="1" x14ac:dyDescent="0.3">
      <c r="B34" s="56" t="s">
        <v>10</v>
      </c>
      <c r="C34" s="57"/>
      <c r="D34" s="57"/>
      <c r="E34" s="57"/>
      <c r="F34" s="17">
        <f>FV($F$25,$A18*12,$F$23*-1)</f>
        <v>864433.93100094295</v>
      </c>
      <c r="G34" s="18">
        <f>F34*D17</f>
        <v>5186.6035860056581</v>
      </c>
    </row>
    <row r="37" spans="2:7" x14ac:dyDescent="0.25">
      <c r="B37" s="39" t="s">
        <v>17</v>
      </c>
      <c r="C37" s="39"/>
      <c r="D37" s="23"/>
      <c r="E37" s="23"/>
      <c r="F37" s="24" t="s">
        <v>44</v>
      </c>
    </row>
    <row r="38" spans="2:7" x14ac:dyDescent="0.25">
      <c r="B38" s="40" t="s">
        <v>20</v>
      </c>
      <c r="C38" s="40"/>
      <c r="D38" s="40"/>
      <c r="E38" s="40"/>
      <c r="F38" s="26">
        <f>aporte</f>
        <v>200</v>
      </c>
    </row>
    <row r="39" spans="2:7" ht="15.75" thickBot="1" x14ac:dyDescent="0.3">
      <c r="B39" s="25"/>
      <c r="C39" s="25"/>
      <c r="D39" s="25"/>
      <c r="E39" s="25"/>
    </row>
    <row r="40" spans="2:7" x14ac:dyDescent="0.25">
      <c r="B40" s="41" t="s">
        <v>21</v>
      </c>
      <c r="C40" s="42"/>
      <c r="D40" s="35" t="s">
        <v>22</v>
      </c>
      <c r="E40" s="36"/>
      <c r="F40" s="37" t="s">
        <v>23</v>
      </c>
    </row>
    <row r="41" spans="2:7" x14ac:dyDescent="0.25">
      <c r="B41" s="65" t="s">
        <v>24</v>
      </c>
      <c r="C41" s="66"/>
      <c r="D41" s="63">
        <f>VLOOKUP($F$37&amp;"-"&amp;$B41,Planilha2!$A:$D,4,FALSE)</f>
        <v>0.5</v>
      </c>
      <c r="E41" s="63"/>
      <c r="F41" s="38">
        <f>D41*$F$38</f>
        <v>100</v>
      </c>
    </row>
    <row r="42" spans="2:7" x14ac:dyDescent="0.25">
      <c r="B42" s="58" t="s">
        <v>25</v>
      </c>
      <c r="C42" s="59"/>
      <c r="D42" s="64">
        <f>VLOOKUP($F$37&amp;"-"&amp;$B42,Planilha2!$A:$D,4,FALSE)</f>
        <v>0.1</v>
      </c>
      <c r="E42" s="64"/>
      <c r="F42" s="5">
        <f t="shared" ref="F42:F46" si="0">D42*$F$38</f>
        <v>20</v>
      </c>
    </row>
    <row r="43" spans="2:7" x14ac:dyDescent="0.25">
      <c r="B43" s="58" t="s">
        <v>26</v>
      </c>
      <c r="C43" s="59"/>
      <c r="D43" s="64">
        <f>VLOOKUP($F$37&amp;"-"&amp;$B43,Planilha2!$A:$D,4,FALSE)</f>
        <v>0.05</v>
      </c>
      <c r="E43" s="64"/>
      <c r="F43" s="5">
        <f t="shared" si="0"/>
        <v>10</v>
      </c>
    </row>
    <row r="44" spans="2:7" x14ac:dyDescent="0.25">
      <c r="B44" s="58" t="s">
        <v>27</v>
      </c>
      <c r="C44" s="59"/>
      <c r="D44" s="64">
        <f>VLOOKUP($F$37&amp;"-"&amp;$B44,Planilha2!$A:$D,4,FALSE)</f>
        <v>0.05</v>
      </c>
      <c r="E44" s="64"/>
      <c r="F44" s="5">
        <f t="shared" si="0"/>
        <v>10</v>
      </c>
    </row>
    <row r="45" spans="2:7" x14ac:dyDescent="0.25">
      <c r="B45" s="58" t="s">
        <v>28</v>
      </c>
      <c r="C45" s="59"/>
      <c r="D45" s="64">
        <f>VLOOKUP($F$37&amp;"-"&amp;$B45,Planilha2!$A:$D,4,FALSE)</f>
        <v>0.2</v>
      </c>
      <c r="E45" s="64"/>
      <c r="F45" s="5">
        <f t="shared" si="0"/>
        <v>40</v>
      </c>
    </row>
    <row r="46" spans="2:7" x14ac:dyDescent="0.25">
      <c r="B46" s="58" t="s">
        <v>29</v>
      </c>
      <c r="C46" s="59"/>
      <c r="D46" s="64">
        <f>VLOOKUP($F$37&amp;"-"&amp;$B46,Planilha2!$A:$D,4,FALSE)</f>
        <v>0.1</v>
      </c>
      <c r="E46" s="64"/>
      <c r="F46" s="5">
        <f t="shared" si="0"/>
        <v>20</v>
      </c>
    </row>
    <row r="47" spans="2:7" ht="15.75" thickBot="1" x14ac:dyDescent="0.3">
      <c r="B47" s="60">
        <f>SUM(F41:F46)</f>
        <v>200</v>
      </c>
      <c r="C47" s="61"/>
      <c r="D47" s="61"/>
      <c r="E47" s="61"/>
      <c r="F47" s="62"/>
    </row>
  </sheetData>
  <mergeCells count="28">
    <mergeCell ref="B46:C46"/>
    <mergeCell ref="B47:F47"/>
    <mergeCell ref="D41:E41"/>
    <mergeCell ref="D42:E42"/>
    <mergeCell ref="D43:E43"/>
    <mergeCell ref="D44:E44"/>
    <mergeCell ref="D45:E45"/>
    <mergeCell ref="D46:E46"/>
    <mergeCell ref="B41:C41"/>
    <mergeCell ref="B42:C42"/>
    <mergeCell ref="B43:C43"/>
    <mergeCell ref="B44:C44"/>
    <mergeCell ref="B45:C45"/>
    <mergeCell ref="B37:C37"/>
    <mergeCell ref="B38:E38"/>
    <mergeCell ref="B40:C40"/>
    <mergeCell ref="B22:F22"/>
    <mergeCell ref="C15:D15"/>
    <mergeCell ref="B23:E23"/>
    <mergeCell ref="B24:E24"/>
    <mergeCell ref="B25:E25"/>
    <mergeCell ref="B26:E26"/>
    <mergeCell ref="B27:E27"/>
    <mergeCell ref="B30:E30"/>
    <mergeCell ref="B31:E31"/>
    <mergeCell ref="B32:E32"/>
    <mergeCell ref="B33:E33"/>
    <mergeCell ref="B34:E34"/>
  </mergeCells>
  <dataValidations count="1">
    <dataValidation type="list" allowBlank="1" showInputMessage="1" showErrorMessage="1" sqref="F37" xr:uid="{00000000-0002-0000-0000-000000000000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20"/>
  <sheetViews>
    <sheetView workbookViewId="0">
      <selection activeCell="D11" sqref="D11"/>
    </sheetView>
  </sheetViews>
  <sheetFormatPr defaultRowHeight="15" x14ac:dyDescent="0.25"/>
  <cols>
    <col min="1" max="1" width="31.28515625" bestFit="1" customWidth="1"/>
    <col min="2" max="2" width="12.140625" bestFit="1" customWidth="1"/>
    <col min="3" max="3" width="23.28515625" customWidth="1"/>
    <col min="6" max="6" width="16.140625" customWidth="1"/>
    <col min="8" max="8" width="8.5703125" bestFit="1" customWidth="1"/>
  </cols>
  <sheetData>
    <row r="2" spans="1:9" x14ac:dyDescent="0.25">
      <c r="A2" s="27" t="s">
        <v>30</v>
      </c>
      <c r="B2" s="27" t="s">
        <v>17</v>
      </c>
      <c r="C2" s="27" t="s">
        <v>21</v>
      </c>
      <c r="D2" s="27" t="s">
        <v>31</v>
      </c>
    </row>
    <row r="3" spans="1:9" x14ac:dyDescent="0.25">
      <c r="A3" s="6" t="s">
        <v>32</v>
      </c>
      <c r="B3" s="6" t="s">
        <v>19</v>
      </c>
      <c r="C3" s="6" t="s">
        <v>24</v>
      </c>
      <c r="D3" s="7">
        <v>0.3</v>
      </c>
    </row>
    <row r="4" spans="1:9" x14ac:dyDescent="0.25">
      <c r="A4" s="6" t="s">
        <v>33</v>
      </c>
      <c r="B4" s="6" t="s">
        <v>19</v>
      </c>
      <c r="C4" s="6" t="s">
        <v>25</v>
      </c>
      <c r="D4" s="7">
        <v>0.5</v>
      </c>
    </row>
    <row r="5" spans="1:9" x14ac:dyDescent="0.25">
      <c r="A5" s="6" t="s">
        <v>34</v>
      </c>
      <c r="B5" s="6" t="s">
        <v>19</v>
      </c>
      <c r="C5" s="6" t="s">
        <v>26</v>
      </c>
      <c r="D5" s="7">
        <v>0.1</v>
      </c>
      <c r="F5" s="30" t="s">
        <v>39</v>
      </c>
      <c r="G5" s="30"/>
      <c r="H5" s="31">
        <f>VLOOKUP(F5,$A:$D,4,FALSE)</f>
        <v>0.2</v>
      </c>
      <c r="I5" s="30"/>
    </row>
    <row r="6" spans="1:9" x14ac:dyDescent="0.25">
      <c r="A6" s="6" t="s">
        <v>35</v>
      </c>
      <c r="B6" s="6" t="s">
        <v>19</v>
      </c>
      <c r="C6" s="6" t="s">
        <v>27</v>
      </c>
      <c r="D6" s="7">
        <v>0.1</v>
      </c>
    </row>
    <row r="7" spans="1:9" x14ac:dyDescent="0.25">
      <c r="A7" s="6" t="s">
        <v>36</v>
      </c>
      <c r="B7" s="6" t="s">
        <v>19</v>
      </c>
      <c r="C7" s="6" t="s">
        <v>28</v>
      </c>
      <c r="D7" s="7">
        <v>0</v>
      </c>
    </row>
    <row r="8" spans="1:9" ht="15.75" thickBot="1" x14ac:dyDescent="0.3">
      <c r="A8" s="28" t="s">
        <v>37</v>
      </c>
      <c r="B8" s="6" t="s">
        <v>19</v>
      </c>
      <c r="C8" s="28" t="s">
        <v>29</v>
      </c>
      <c r="D8" s="29">
        <v>0</v>
      </c>
    </row>
    <row r="9" spans="1:9" x14ac:dyDescent="0.25">
      <c r="A9" s="6" t="s">
        <v>38</v>
      </c>
      <c r="B9" s="6" t="s">
        <v>18</v>
      </c>
      <c r="C9" s="6" t="s">
        <v>24</v>
      </c>
      <c r="D9" s="7">
        <v>0.32</v>
      </c>
    </row>
    <row r="10" spans="1:9" x14ac:dyDescent="0.25">
      <c r="A10" s="6" t="s">
        <v>39</v>
      </c>
      <c r="B10" s="6" t="s">
        <v>18</v>
      </c>
      <c r="C10" s="6" t="s">
        <v>25</v>
      </c>
      <c r="D10" s="7">
        <v>0.2</v>
      </c>
    </row>
    <row r="11" spans="1:9" x14ac:dyDescent="0.25">
      <c r="A11" s="6" t="s">
        <v>40</v>
      </c>
      <c r="B11" s="6" t="s">
        <v>18</v>
      </c>
      <c r="C11" s="6" t="s">
        <v>26</v>
      </c>
      <c r="D11" s="7">
        <v>0.08</v>
      </c>
    </row>
    <row r="12" spans="1:9" x14ac:dyDescent="0.25">
      <c r="A12" s="6" t="s">
        <v>41</v>
      </c>
      <c r="B12" s="6" t="s">
        <v>18</v>
      </c>
      <c r="C12" s="6" t="s">
        <v>27</v>
      </c>
      <c r="D12" s="7">
        <v>0.1</v>
      </c>
    </row>
    <row r="13" spans="1:9" x14ac:dyDescent="0.25">
      <c r="A13" s="6" t="s">
        <v>42</v>
      </c>
      <c r="B13" s="6" t="s">
        <v>18</v>
      </c>
      <c r="C13" s="6" t="s">
        <v>28</v>
      </c>
      <c r="D13" s="7">
        <v>0.1</v>
      </c>
    </row>
    <row r="14" spans="1:9" ht="15.75" thickBot="1" x14ac:dyDescent="0.3">
      <c r="A14" s="28" t="s">
        <v>43</v>
      </c>
      <c r="B14" s="6" t="s">
        <v>18</v>
      </c>
      <c r="C14" s="28" t="s">
        <v>29</v>
      </c>
      <c r="D14" s="29">
        <v>0.1</v>
      </c>
    </row>
    <row r="15" spans="1:9" x14ac:dyDescent="0.25">
      <c r="A15" s="6" t="s">
        <v>45</v>
      </c>
      <c r="B15" s="6" t="s">
        <v>44</v>
      </c>
      <c r="C15" s="6" t="s">
        <v>24</v>
      </c>
      <c r="D15" s="7">
        <v>0.5</v>
      </c>
    </row>
    <row r="16" spans="1:9" x14ac:dyDescent="0.25">
      <c r="A16" s="6" t="s">
        <v>46</v>
      </c>
      <c r="B16" s="6" t="s">
        <v>44</v>
      </c>
      <c r="C16" s="6" t="s">
        <v>25</v>
      </c>
      <c r="D16" s="7">
        <v>0.1</v>
      </c>
    </row>
    <row r="17" spans="1:4" x14ac:dyDescent="0.25">
      <c r="A17" s="6" t="s">
        <v>47</v>
      </c>
      <c r="B17" s="6" t="s">
        <v>44</v>
      </c>
      <c r="C17" s="6" t="s">
        <v>26</v>
      </c>
      <c r="D17" s="7">
        <v>0.05</v>
      </c>
    </row>
    <row r="18" spans="1:4" x14ac:dyDescent="0.25">
      <c r="A18" s="6" t="s">
        <v>48</v>
      </c>
      <c r="B18" s="6" t="s">
        <v>44</v>
      </c>
      <c r="C18" s="6" t="s">
        <v>27</v>
      </c>
      <c r="D18" s="7">
        <v>0.05</v>
      </c>
    </row>
    <row r="19" spans="1:4" x14ac:dyDescent="0.25">
      <c r="A19" s="6" t="s">
        <v>49</v>
      </c>
      <c r="B19" s="6" t="s">
        <v>44</v>
      </c>
      <c r="C19" s="6" t="s">
        <v>28</v>
      </c>
      <c r="D19" s="7">
        <v>0.2</v>
      </c>
    </row>
    <row r="20" spans="1:4" x14ac:dyDescent="0.25">
      <c r="A20" s="6" t="s">
        <v>50</v>
      </c>
      <c r="B20" s="6" t="s">
        <v>44</v>
      </c>
      <c r="C20" s="6" t="s">
        <v>29</v>
      </c>
      <c r="D20" s="7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Planilha1</vt:lpstr>
      <vt:lpstr>Planilha2</vt:lpstr>
      <vt:lpstr>aporte</vt:lpstr>
      <vt:lpstr>qtd_anos</vt:lpstr>
      <vt:lpstr>rendimento_carteira</vt:lpstr>
      <vt:lpstr>salario</vt:lpstr>
      <vt:lpstr>sugestal_investimento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Mayke Honorato Mazon</dc:creator>
  <cp:lastModifiedBy>mayke honorato</cp:lastModifiedBy>
  <dcterms:created xsi:type="dcterms:W3CDTF">2026-01-17T00:44:45Z</dcterms:created>
  <dcterms:modified xsi:type="dcterms:W3CDTF">2026-03-20T02:00:25Z</dcterms:modified>
</cp:coreProperties>
</file>